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Work\Projects 2020\SG\AgileLab (QuESH)\AgileLab ISMS\Agile Lab ISMS (DRAFT)\"/>
    </mc:Choice>
  </mc:AlternateContent>
  <bookViews>
    <workbookView xWindow="0" yWindow="0" windowWidth="19650" windowHeight="7575"/>
  </bookViews>
  <sheets>
    <sheet name="Cover" sheetId="2" r:id="rId1"/>
    <sheet name="Attendence" sheetId="3" r:id="rId2"/>
    <sheet name="Topics" sheetId="4" r:id="rId3"/>
    <sheet name="Decisions" sheetId="5" r:id="rId4"/>
  </sheets>
  <externalReferences>
    <externalReference r:id="rId5"/>
    <externalReference r:id="rId6"/>
    <externalReference r:id="rId7"/>
  </externalReferences>
  <definedNames>
    <definedName name="AssetsList">[1]Assets!$A$2:$A$30</definedName>
    <definedName name="Consolidated_Threat_Hazard_Categories">'[2]Key Risks'!$A$2:$A$21</definedName>
    <definedName name="ListaPrijetnji2">[1]Threats!$B$5:$B$62</definedName>
    <definedName name="Options">[3]Options!$A$3:$A$6</definedName>
    <definedName name="RiskOwners">[1]Owners!$B$2:$B$19</definedName>
    <definedName name="ThreatsList">[1]Threats!$B$5:$B$197</definedName>
    <definedName name="Vulberability2" localSheetId="3">#REF!</definedName>
    <definedName name="Vulberability2">#REF!</definedName>
    <definedName name="VulnerabitiesList">[1]Vulnerabilities!$B$6:$B$300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2" l="1"/>
  <c r="E13" i="2"/>
</calcChain>
</file>

<file path=xl/sharedStrings.xml><?xml version="1.0" encoding="utf-8"?>
<sst xmlns="http://schemas.openxmlformats.org/spreadsheetml/2006/main" count="54" uniqueCount="50">
  <si>
    <r>
      <t xml:space="preserve">Materials or information </t>
    </r>
    <r>
      <rPr>
        <sz val="8"/>
        <color theme="1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 xml:space="preserve">reviewed at the meeting include the following: </t>
    </r>
  </si>
  <si>
    <t>Company</t>
  </si>
  <si>
    <t>Department</t>
  </si>
  <si>
    <t>Address</t>
  </si>
  <si>
    <t>Document Title</t>
  </si>
  <si>
    <t>Standard(s)</t>
  </si>
  <si>
    <t>ISO27001 Information technology ‒ Security Techniques  ‒ Information security management systems ‒ Requirements</t>
  </si>
  <si>
    <t>Last review</t>
  </si>
  <si>
    <t>Classification</t>
  </si>
  <si>
    <t>Confidential</t>
  </si>
  <si>
    <t>Prepared by</t>
  </si>
  <si>
    <t>Date</t>
  </si>
  <si>
    <t>Approved by</t>
  </si>
  <si>
    <t>ISMS Management Review Meeting</t>
  </si>
  <si>
    <t>Name of Attendees</t>
  </si>
  <si>
    <t>Meeting Purpose</t>
  </si>
  <si>
    <t>To review the suitability, adequacy and effectiveness of the Information Security Management System (ISMS)</t>
  </si>
  <si>
    <t>No.</t>
  </si>
  <si>
    <t>Title of Document / Email / Memo / Minutes</t>
  </si>
  <si>
    <t>ISMS internal audit report</t>
  </si>
  <si>
    <t>ISMS external audit report</t>
  </si>
  <si>
    <t>Internal reviews</t>
  </si>
  <si>
    <t>External review</t>
  </si>
  <si>
    <r>
      <t xml:space="preserve">Interested parties </t>
    </r>
    <r>
      <rPr>
        <sz val="11"/>
        <color theme="1"/>
        <rFont val="Calibri"/>
        <family val="2"/>
      </rPr>
      <t>‒</t>
    </r>
    <r>
      <rPr>
        <sz val="11"/>
        <color theme="1"/>
        <rFont val="Calibri"/>
        <family val="2"/>
        <scheme val="minor"/>
      </rPr>
      <t xml:space="preserve"> feedback</t>
    </r>
  </si>
  <si>
    <t>International good practices to improve ISMS effectiveness</t>
  </si>
  <si>
    <r>
      <t xml:space="preserve">Nonconformities and corrective actions </t>
    </r>
    <r>
      <rPr>
        <sz val="11"/>
        <color theme="1"/>
        <rFont val="Calibri"/>
        <family val="2"/>
      </rPr>
      <t>‒ status</t>
    </r>
  </si>
  <si>
    <t>Monitoring and measurement evaluation results] , including the report on whether the objectives have been achieved</t>
  </si>
  <si>
    <r>
      <t xml:space="preserve">Last management review meeting </t>
    </r>
    <r>
      <rPr>
        <sz val="11"/>
        <color theme="1"/>
        <rFont val="Calibri"/>
        <family val="2"/>
      </rPr>
      <t>‒</t>
    </r>
    <r>
      <rPr>
        <sz val="11"/>
        <color theme="1"/>
        <rFont val="Calibri"/>
        <family val="2"/>
        <scheme val="minor"/>
      </rPr>
      <t xml:space="preserve"> status of follow-up actions</t>
    </r>
  </si>
  <si>
    <t>Internal and external issues that can affect or affected the ISMS</t>
  </si>
  <si>
    <r>
      <t xml:space="preserve">Description of recommendations for improvements </t>
    </r>
    <r>
      <rPr>
        <sz val="11"/>
        <color theme="1"/>
        <rFont val="Calibri"/>
        <family val="2"/>
      </rPr>
      <t>‒ including ISMS policies, objectives and procedures</t>
    </r>
  </si>
  <si>
    <t>Exercise report and results</t>
  </si>
  <si>
    <t>Incident report and corrective actions</t>
  </si>
  <si>
    <t>Change Categories</t>
  </si>
  <si>
    <t>ISMS scope</t>
  </si>
  <si>
    <t>Actions to improve ISMS effectiveness</t>
  </si>
  <si>
    <r>
      <t xml:space="preserve">Risk assessment </t>
    </r>
    <r>
      <rPr>
        <sz val="11"/>
        <color theme="1"/>
        <rFont val="Calibri"/>
        <family val="2"/>
      </rPr>
      <t>‒ updates</t>
    </r>
  </si>
  <si>
    <r>
      <t xml:space="preserve">Risk treatment plan </t>
    </r>
    <r>
      <rPr>
        <sz val="11"/>
        <color theme="1"/>
        <rFont val="Calibri"/>
        <family val="2"/>
      </rPr>
      <t>‒ updates</t>
    </r>
  </si>
  <si>
    <t>Changes to controls</t>
  </si>
  <si>
    <r>
      <t xml:space="preserve">Changes to documents </t>
    </r>
    <r>
      <rPr>
        <sz val="11"/>
        <color theme="1"/>
        <rFont val="Calibri"/>
        <family val="2"/>
      </rPr>
      <t xml:space="preserve">‒ </t>
    </r>
    <r>
      <rPr>
        <sz val="11"/>
        <color theme="1"/>
        <rFont val="Calibri"/>
        <family val="2"/>
        <scheme val="minor"/>
      </rPr>
      <t>policy and/or procedures</t>
    </r>
  </si>
  <si>
    <t>Resources approved for implementation</t>
  </si>
  <si>
    <t>Budget approval</t>
  </si>
  <si>
    <t>Recommendations to improve performance measurements</t>
  </si>
  <si>
    <t>Communications with internal and external parties affected by improvements</t>
  </si>
  <si>
    <t>Role</t>
  </si>
  <si>
    <t>Remarks and next actions (if applicable)</t>
  </si>
  <si>
    <t>Remarks or Description of Changes</t>
  </si>
  <si>
    <t>Risk assessment and risk treatment plan (e.g. implementation status, if any)</t>
  </si>
  <si>
    <t>Remarks</t>
  </si>
  <si>
    <t>None based on the recent IA</t>
  </si>
  <si>
    <t>Agile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</si>
</sst>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rgb="FF33CCCC"/>
      </left>
      <right style="thin">
        <color rgb="FF33CCCC"/>
      </right>
      <top style="thin">
        <color rgb="FF33CCCC"/>
      </top>
      <bottom style="thin">
        <color rgb="FF33CCCC"/>
      </bottom>
      <diagonal/>
    </border>
    <border>
      <left style="thin">
        <color rgb="FF33CCCC"/>
      </left>
      <right/>
      <top style="thin">
        <color rgb="FF33CCCC"/>
      </top>
      <bottom style="thin">
        <color rgb="FF33CCCC"/>
      </bottom>
      <diagonal/>
    </border>
    <border>
      <left/>
      <right style="thin">
        <color rgb="FF33CCCC"/>
      </right>
      <top style="thin">
        <color rgb="FF33CCCC"/>
      </top>
      <bottom style="thin">
        <color rgb="FF33CCCC"/>
      </bottom>
      <diagonal/>
    </border>
    <border>
      <left/>
      <right/>
      <top style="thin">
        <color rgb="FF33CCCC"/>
      </top>
      <bottom style="thin">
        <color rgb="FF33CCCC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4" fillId="0" borderId="0" xfId="1"/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horizontal="left" vertical="center" indent="1"/>
    </xf>
    <xf numFmtId="0" fontId="4" fillId="0" borderId="3" xfId="1" applyFont="1" applyBorder="1" applyAlignment="1">
      <alignment vertical="center"/>
    </xf>
    <xf numFmtId="0" fontId="4" fillId="0" borderId="4" xfId="1" applyFont="1" applyBorder="1" applyAlignment="1">
      <alignment horizontal="left" vertical="center" indent="1"/>
    </xf>
    <xf numFmtId="0" fontId="5" fillId="0" borderId="1" xfId="2" applyFont="1" applyFill="1" applyBorder="1" applyAlignment="1">
      <alignment vertical="center" wrapText="1"/>
    </xf>
    <xf numFmtId="15" fontId="5" fillId="0" borderId="5" xfId="2" applyNumberFormat="1" applyFont="1" applyBorder="1" applyAlignment="1">
      <alignment horizontal="left" vertical="center" wrapText="1" indent="1"/>
    </xf>
    <xf numFmtId="0" fontId="4" fillId="0" borderId="1" xfId="1" applyFont="1" applyBorder="1" applyAlignment="1">
      <alignment horizontal="left" vertical="center" indent="1"/>
    </xf>
    <xf numFmtId="15" fontId="4" fillId="0" borderId="1" xfId="1" applyNumberFormat="1" applyFont="1" applyBorder="1" applyAlignment="1">
      <alignment horizontal="left" vertical="center" indent="1"/>
    </xf>
    <xf numFmtId="0" fontId="0" fillId="0" borderId="6" xfId="0" applyBorder="1"/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4" fillId="0" borderId="1" xfId="1" applyFont="1" applyBorder="1" applyAlignment="1">
      <alignment horizontal="left" vertical="center" indent="1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5" fillId="0" borderId="2" xfId="2" applyFont="1" applyBorder="1" applyAlignment="1">
      <alignment horizontal="left" vertical="center" wrapText="1" indent="1"/>
    </xf>
    <xf numFmtId="0" fontId="5" fillId="0" borderId="3" xfId="2" applyFont="1" applyBorder="1" applyAlignment="1">
      <alignment horizontal="left" vertical="center" wrapText="1" indent="1"/>
    </xf>
    <xf numFmtId="0" fontId="5" fillId="0" borderId="4" xfId="2" applyFont="1" applyBorder="1" applyAlignment="1">
      <alignment horizontal="left" vertical="center" wrapText="1" inden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</cellXfs>
  <cellStyles count="3">
    <cellStyle name="Normal" xfId="0" builtinId="0"/>
    <cellStyle name="Normal 2 2 2" xfId="1"/>
    <cellStyle name="Normal 2 5 2" xfId="2"/>
  </cellStyles>
  <dxfs count="0"/>
  <tableStyles count="0" defaultTableStyle="TableStyleMedium2" defaultPivotStyle="PivotStyleLight16"/>
  <colors>
    <mruColors>
      <color rgb="FF00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lim10\Documents\MyActiveWorkInfo\MRC%20projects%202019\SG\QuESH%20(BLS)\QuESH%20BLS%20project%20docs\ISMS%20docs\ISMS%20docs\Dodid%20ISMS%20RA%2020181108-1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lim10\Documents\MyActiveWorkInfo\MRC%20Projects%202017\DODID\Dodid%20SS507\SS507%20docs%20WIP\Dodid%20SS507-BCM%20RA%2020181221-3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lim10\AppData\Local\Temp\OneNote\14.0\NT\108\20131219%20ISMS%20A2_RA%20treatment%20Ngai%20He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A"/>
      <sheetName val="CIA &amp; CMM"/>
      <sheetName val="Assets"/>
      <sheetName val="RA (2)"/>
      <sheetName val="Categories"/>
      <sheetName val="Threats"/>
      <sheetName val="Vulnerabilities"/>
      <sheetName val="Owners"/>
      <sheetName val="Vulnerability"/>
      <sheetName val="Impact"/>
      <sheetName val="Likelihood"/>
      <sheetName val="Acceptance"/>
      <sheetName val="Controls"/>
      <sheetName val="RA Digital"/>
      <sheetName val="RA Sales"/>
      <sheetName val="RA Coord"/>
      <sheetName val="RA Mgt"/>
      <sheetName val="RA Svrs"/>
      <sheetName val="Impact (2)"/>
      <sheetName val="Likelihood (2)"/>
      <sheetName val="Threat-relevance"/>
    </sheetNames>
    <sheetDataSet>
      <sheetData sheetId="0"/>
      <sheetData sheetId="1"/>
      <sheetData sheetId="2"/>
      <sheetData sheetId="3">
        <row r="2">
          <cell r="A2" t="str">
            <v>ACS server</v>
          </cell>
        </row>
        <row r="3">
          <cell r="A3" t="str">
            <v>ACS switches</v>
          </cell>
        </row>
        <row r="4">
          <cell r="A4" t="str">
            <v>BCS PC</v>
          </cell>
        </row>
        <row r="5">
          <cell r="A5" t="str">
            <v>BCS server</v>
          </cell>
        </row>
        <row r="6">
          <cell r="A6" t="str">
            <v>CCTV cameras</v>
          </cell>
        </row>
        <row r="7">
          <cell r="A7" t="str">
            <v>CCTV server</v>
          </cell>
        </row>
        <row r="8">
          <cell r="A8" t="str">
            <v>CCTV switches</v>
          </cell>
        </row>
        <row r="9">
          <cell r="A9" t="str">
            <v>Email server</v>
          </cell>
        </row>
        <row r="10">
          <cell r="A10" t="str">
            <v>Firewall</v>
          </cell>
        </row>
        <row r="11">
          <cell r="A11" t="str">
            <v>NAS</v>
          </cell>
        </row>
        <row r="12">
          <cell r="A12" t="str">
            <v>Router</v>
          </cell>
        </row>
        <row r="13">
          <cell r="A13" t="str">
            <v>VCS</v>
          </cell>
        </row>
      </sheetData>
      <sheetData sheetId="4"/>
      <sheetData sheetId="5"/>
      <sheetData sheetId="6">
        <row r="5">
          <cell r="B5" t="str">
            <v>accidental change of information system data</v>
          </cell>
        </row>
        <row r="6">
          <cell r="B6" t="str">
            <v>application errors</v>
          </cell>
        </row>
        <row r="7">
          <cell r="B7" t="str">
            <v>bomb attack</v>
          </cell>
        </row>
        <row r="8">
          <cell r="B8" t="str">
            <v>bomb threat</v>
          </cell>
        </row>
        <row r="9">
          <cell r="B9" t="str">
            <v>breach of contractual relations</v>
          </cell>
        </row>
        <row r="10">
          <cell r="B10" t="str">
            <v>breach of legislation</v>
          </cell>
        </row>
        <row r="11">
          <cell r="B11" t="str">
            <v>breakdown of communication links</v>
          </cell>
        </row>
        <row r="12">
          <cell r="B12" t="str">
            <v>concealing user identity</v>
          </cell>
        </row>
        <row r="13">
          <cell r="B13" t="str">
            <v>damage caused by third-party activities</v>
          </cell>
        </row>
        <row r="14">
          <cell r="B14" t="str">
            <v>damage incurred during penetration testing</v>
          </cell>
        </row>
        <row r="15">
          <cell r="B15" t="str">
            <v>destruction of records</v>
          </cell>
        </row>
        <row r="16">
          <cell r="B16" t="str">
            <v>deterioration of media</v>
          </cell>
        </row>
        <row r="17">
          <cell r="B17" t="str">
            <v>disclosure of passwords</v>
          </cell>
        </row>
        <row r="18">
          <cell r="B18" t="str">
            <v>eavesdropping</v>
          </cell>
        </row>
        <row r="19">
          <cell r="B19" t="str">
            <v>embezzlement</v>
          </cell>
        </row>
        <row r="20">
          <cell r="B20" t="str">
            <v>equipment failure</v>
          </cell>
        </row>
        <row r="21">
          <cell r="B21" t="str">
            <v>falsification of records</v>
          </cell>
        </row>
        <row r="22">
          <cell r="B22" t="str">
            <v>fire</v>
          </cell>
        </row>
        <row r="23">
          <cell r="B23" t="str">
            <v>flood</v>
          </cell>
        </row>
        <row r="24">
          <cell r="B24" t="str">
            <v>fraud</v>
          </cell>
        </row>
        <row r="25">
          <cell r="B25" t="str">
            <v>hacking or virus attack</v>
          </cell>
        </row>
        <row r="26">
          <cell r="B26" t="str">
            <v>industrial espionage</v>
          </cell>
        </row>
        <row r="27">
          <cell r="B27" t="str">
            <v>information interception</v>
          </cell>
        </row>
        <row r="28">
          <cell r="B28" t="str">
            <v>interruption of power supply</v>
          </cell>
        </row>
        <row r="29">
          <cell r="B29" t="str">
            <v>leakage/disclosure of information</v>
          </cell>
        </row>
        <row r="30">
          <cell r="B30" t="str">
            <v>loss of support services</v>
          </cell>
        </row>
        <row r="31">
          <cell r="B31" t="str">
            <v>maintenance errors</v>
          </cell>
        </row>
        <row r="32">
          <cell r="B32" t="str">
            <v>malicious code</v>
          </cell>
        </row>
        <row r="33">
          <cell r="B33" t="str">
            <v>misuse of audit tools</v>
          </cell>
        </row>
        <row r="34">
          <cell r="B34" t="str">
            <v>misuse of information systems</v>
          </cell>
        </row>
        <row r="35">
          <cell r="B35" t="str">
            <v>other disasters (man-made)</v>
          </cell>
        </row>
        <row r="36">
          <cell r="B36" t="str">
            <v>other disasters (natural)</v>
          </cell>
        </row>
        <row r="37">
          <cell r="B37" t="str">
            <v>pollution</v>
          </cell>
        </row>
        <row r="38">
          <cell r="B38" t="str">
            <v>social engineering</v>
          </cell>
        </row>
        <row r="39">
          <cell r="B39" t="str">
            <v>strike</v>
          </cell>
        </row>
        <row r="40">
          <cell r="B40" t="str">
            <v>lightning strike</v>
          </cell>
        </row>
        <row r="41">
          <cell r="B41" t="str">
            <v>terrorist attacks</v>
          </cell>
        </row>
        <row r="42">
          <cell r="B42" t="str">
            <v>theft</v>
          </cell>
        </row>
        <row r="43">
          <cell r="B43" t="str">
            <v>unauthorized access to the information system</v>
          </cell>
        </row>
        <row r="44">
          <cell r="B44" t="str">
            <v>unauthorized change of records</v>
          </cell>
        </row>
        <row r="45">
          <cell r="B45" t="str">
            <v>unauthorized installation of software</v>
          </cell>
        </row>
        <row r="46">
          <cell r="B46" t="str">
            <v>unauthorized network access</v>
          </cell>
        </row>
        <row r="47">
          <cell r="B47" t="str">
            <v>unauthorized physical access</v>
          </cell>
        </row>
        <row r="48">
          <cell r="B48" t="str">
            <v>unauthorized use of licensed materials</v>
          </cell>
        </row>
        <row r="49">
          <cell r="B49" t="str">
            <v>unauthorized use of software</v>
          </cell>
        </row>
        <row r="50">
          <cell r="B50" t="str">
            <v>use of unauthorized or untested code</v>
          </cell>
        </row>
        <row r="51">
          <cell r="B51" t="str">
            <v>user error</v>
          </cell>
        </row>
        <row r="52">
          <cell r="B52" t="str">
            <v>vandalism</v>
          </cell>
        </row>
        <row r="53">
          <cell r="B53" t="str">
            <v>Spill sensitive information</v>
          </cell>
        </row>
        <row r="54">
          <cell r="B54" t="str">
            <v>Mishandling of critical and/or sensitive information by authorized users</v>
          </cell>
        </row>
        <row r="55">
          <cell r="B55" t="str">
            <v>Incorrect privilege settings</v>
          </cell>
        </row>
        <row r="56">
          <cell r="B56" t="str">
            <v>Communications contention</v>
          </cell>
        </row>
        <row r="57">
          <cell r="B57" t="str">
            <v>Unreadable display</v>
          </cell>
        </row>
        <row r="58">
          <cell r="B58" t="str">
            <v>Earthquake at primary facility</v>
          </cell>
        </row>
        <row r="59">
          <cell r="B59" t="str">
            <v>Fire at primary facility</v>
          </cell>
        </row>
        <row r="60">
          <cell r="B60" t="str">
            <v>Fire at backup facility</v>
          </cell>
        </row>
        <row r="61">
          <cell r="B61" t="str">
            <v>Resource depletion</v>
          </cell>
        </row>
        <row r="62">
          <cell r="B62" t="str">
            <v>Introduction of vulnerabilities into software products</v>
          </cell>
        </row>
        <row r="63">
          <cell r="B63" t="str">
            <v>Disk error</v>
          </cell>
        </row>
        <row r="64">
          <cell r="B64" t="str">
            <v>Pervasive disk error</v>
          </cell>
        </row>
        <row r="65">
          <cell r="B65" t="str">
            <v>Perform perimeter network reconnaissance/scanning</v>
          </cell>
        </row>
        <row r="66">
          <cell r="B66" t="str">
            <v>Perform network sniffing of exposed networks</v>
          </cell>
        </row>
        <row r="67">
          <cell r="B67" t="str">
            <v>Gather information using open source discovery of organizational information</v>
          </cell>
        </row>
        <row r="68">
          <cell r="B68" t="str">
            <v>Perform reconnaissance and surveillance of targeted organizations</v>
          </cell>
        </row>
        <row r="69">
          <cell r="B69" t="str">
            <v>Perform malware-directed internal reconnaissance</v>
          </cell>
        </row>
        <row r="70">
          <cell r="B70" t="str">
            <v>Craft phishing attacks</v>
          </cell>
        </row>
        <row r="71">
          <cell r="B71" t="str">
            <v>Craft spear phishing attacks</v>
          </cell>
        </row>
        <row r="72">
          <cell r="B72" t="str">
            <v>Craft attacks specifically based on deployed information technology environment</v>
          </cell>
        </row>
        <row r="73">
          <cell r="B73" t="str">
            <v>Create counterfeit/spoof website</v>
          </cell>
        </row>
        <row r="74">
          <cell r="B74" t="str">
            <v>Craft counterfeit certificates</v>
          </cell>
        </row>
        <row r="75">
          <cell r="B75" t="str">
            <v>Create and operate false front organizations to inject malicious components into the supply chain</v>
          </cell>
        </row>
        <row r="76">
          <cell r="B76" t="str">
            <v>Deliver known malware to internal organizational information systems (e.g., virus via email)</v>
          </cell>
        </row>
        <row r="77">
          <cell r="B77" t="str">
            <v>Deliver modified malware to internal organizational information systems</v>
          </cell>
        </row>
        <row r="78">
          <cell r="B78" t="str">
            <v>Deliver targeted malware for control of internal systems and exfiltration of data</v>
          </cell>
        </row>
        <row r="79">
          <cell r="B79" t="str">
            <v>Deliver malware by providing removable media</v>
          </cell>
        </row>
        <row r="80">
          <cell r="B80" t="str">
            <v>Insert untargeted malware into downloadable software and/or into commercial information technology products</v>
          </cell>
        </row>
        <row r="81">
          <cell r="B81" t="str">
            <v>Insert targeted malware into organizational information systems and information system components</v>
          </cell>
        </row>
        <row r="82">
          <cell r="B82" t="str">
            <v>Insert specialized malware into organizational information systems based on system configurations</v>
          </cell>
        </row>
        <row r="83">
          <cell r="B83" t="str">
            <v>Insert counterfeit or tampered hardware into the supply chain</v>
          </cell>
        </row>
        <row r="84">
          <cell r="B84" t="str">
            <v>Insert tampered critical components into organizational systems</v>
          </cell>
        </row>
        <row r="85">
          <cell r="B85" t="str">
            <v>Install general-purpose sniffers on organization-controlled information systems or networks</v>
          </cell>
        </row>
        <row r="86">
          <cell r="B86" t="str">
            <v>Install persistent and targeted sniffers on organizational information systems and networks</v>
          </cell>
        </row>
        <row r="87">
          <cell r="B87" t="str">
            <v>Insert malicious scanning devices (e.g., wireless sniffers) inside facilities</v>
          </cell>
        </row>
        <row r="88">
          <cell r="B88" t="str">
            <v>Insert subverted individuals into organizations</v>
          </cell>
        </row>
        <row r="89">
          <cell r="B89" t="str">
            <v>Insert subverted individuals into privileged positions in organizations</v>
          </cell>
        </row>
        <row r="90">
          <cell r="B90" t="str">
            <v>Exploit physical access of authorized staff to gain access to organizational facilities</v>
          </cell>
        </row>
        <row r="91">
          <cell r="B91" t="str">
            <v>Exploit poorly configured or unauthorized information systems exposed to the Internet</v>
          </cell>
        </row>
        <row r="92">
          <cell r="B92" t="str">
            <v>Exploit split tunneling</v>
          </cell>
        </row>
        <row r="93">
          <cell r="B93" t="str">
            <v>Exploit multi-tenancy in a cloud environment</v>
          </cell>
        </row>
        <row r="94">
          <cell r="B94" t="str">
            <v>Exploit known vulnerabilities in mobile systems (e.g., laptops, PDAs, smart phones)</v>
          </cell>
        </row>
        <row r="95">
          <cell r="B95" t="str">
            <v>Exploit recently discovered vulnerabilities</v>
          </cell>
        </row>
        <row r="96">
          <cell r="B96" t="str">
            <v>Exploit vulnerabilities on internal organizational information systems</v>
          </cell>
        </row>
        <row r="97">
          <cell r="B97" t="str">
            <v>Exploit vulnerabilities using zero-day attacks</v>
          </cell>
        </row>
        <row r="98">
          <cell r="B98" t="str">
            <v>Exploit vulnerabilities in information systems timed with organizational mission/business operations tempo</v>
          </cell>
        </row>
        <row r="99">
          <cell r="B99" t="str">
            <v>Exploit insecure or incomplete data deletion in multi-tenant environment</v>
          </cell>
        </row>
        <row r="100">
          <cell r="B100" t="str">
            <v>Violate isolation in multi-tenant environment</v>
          </cell>
        </row>
        <row r="101">
          <cell r="B101" t="str">
            <v>Compromise critical information systems via physical access</v>
          </cell>
        </row>
        <row r="102">
          <cell r="B102" t="str">
            <v>Compromise information systems or devices used externally and reintroduced into the enterprise</v>
          </cell>
        </row>
        <row r="103">
          <cell r="B103" t="str">
            <v>Compromise software of organizational critical information systems</v>
          </cell>
        </row>
        <row r="104">
          <cell r="B104" t="str">
            <v>Compromise organizational information systems to facilitate exfiltration of data/information</v>
          </cell>
        </row>
        <row r="105">
          <cell r="B105" t="str">
            <v>Compromise mission-critical information</v>
          </cell>
        </row>
        <row r="106">
          <cell r="B106" t="str">
            <v>Compromise design, manufacture, and/or distribution of information system components (including hardware, software, and firmware)</v>
          </cell>
        </row>
        <row r="107">
          <cell r="B107" t="str">
            <v>Conduct communications interception attacks</v>
          </cell>
        </row>
        <row r="108">
          <cell r="B108" t="str">
            <v>Conduct wireless jamming attacks</v>
          </cell>
        </row>
        <row r="109">
          <cell r="B109" t="str">
            <v>Conduct attacks using unauthorized ports, protocols and services</v>
          </cell>
        </row>
        <row r="110">
          <cell r="B110" t="str">
            <v>Conduct attacks leveraging traffic/data movement allowed across perimeter</v>
          </cell>
        </row>
        <row r="111">
          <cell r="B111" t="str">
            <v>Conduct simple Denial of Service (DoS) attack</v>
          </cell>
        </row>
        <row r="112">
          <cell r="B112" t="str">
            <v>Conduct Distributed Denial of Service (DDoS) attacks</v>
          </cell>
        </row>
        <row r="113">
          <cell r="B113" t="str">
            <v>Conduct targeted Denial of Service (DoS) attacks</v>
          </cell>
        </row>
        <row r="114">
          <cell r="B114" t="str">
            <v>Conduct physical attacks on organizational facilities</v>
          </cell>
        </row>
        <row r="115">
          <cell r="B115" t="str">
            <v>Conduct physical attacks on infrastructures supporting organizational facilities</v>
          </cell>
        </row>
        <row r="116">
          <cell r="B116" t="str">
            <v>Conduct cyber-physical attacks on organizational facilities</v>
          </cell>
        </row>
        <row r="117">
          <cell r="B117" t="str">
            <v>Conduct data scavenging attacks in a cloud environment</v>
          </cell>
        </row>
        <row r="118">
          <cell r="B118" t="str">
            <v>Conduct brute force login attempts/password guessing attacks</v>
          </cell>
        </row>
        <row r="119">
          <cell r="B119" t="str">
            <v>Conduct nontargeted zero-day attacks</v>
          </cell>
        </row>
        <row r="120">
          <cell r="B120" t="str">
            <v>Conduct externally-based session hijacking</v>
          </cell>
        </row>
        <row r="121">
          <cell r="B121" t="str">
            <v>Conduct internally-based session hijacking</v>
          </cell>
        </row>
        <row r="122">
          <cell r="B122" t="str">
            <v>Conduct externally-based network traffic modification (man in the middle) attacks</v>
          </cell>
        </row>
        <row r="123">
          <cell r="B123" t="str">
            <v>Conduct internally-based network traffic modification (man in the middle) attacks</v>
          </cell>
        </row>
        <row r="124">
          <cell r="B124" t="str">
            <v>Conduct outsider-based social engineering to obtain information</v>
          </cell>
        </row>
        <row r="125">
          <cell r="B125" t="str">
            <v>Conduct insider-based social engineering to obtain information</v>
          </cell>
        </row>
        <row r="126">
          <cell r="B126" t="str">
            <v>Conduct attacks targeting and compromising personal devices of critical employees</v>
          </cell>
        </row>
        <row r="127">
          <cell r="B127" t="str">
            <v>Conduct supply chain attacks targeting and exploiting critical hardware, software, or firmware</v>
          </cell>
        </row>
        <row r="128">
          <cell r="B128" t="str">
            <v>Obtain sensitive information through network sniffing of external networks</v>
          </cell>
        </row>
        <row r="129">
          <cell r="B129" t="str">
            <v>Obtain sensitive information via exfiltration</v>
          </cell>
        </row>
        <row r="130">
          <cell r="B130" t="str">
            <v>Cause degradation or denial of attacker-selected services or capabilities</v>
          </cell>
        </row>
        <row r="131">
          <cell r="B131" t="str">
            <v>Cause deterioration/destruction of critical information system components and functions</v>
          </cell>
        </row>
        <row r="132">
          <cell r="B132" t="str">
            <v>Cause integrity loss by creating, deleting, and/or modifying data on publicly accessible information systems (e.g., web defacement)</v>
          </cell>
        </row>
        <row r="133">
          <cell r="B133" t="str">
            <v>Cause integrity loss by polluting or corrupting critical data</v>
          </cell>
        </row>
        <row r="134">
          <cell r="B134" t="str">
            <v>Cause integrity loss by injecting false but believable data into organizational information systems</v>
          </cell>
        </row>
        <row r="135">
          <cell r="B135" t="str">
            <v>Cause disclosure of critical and/or sensitive information by authorized users</v>
          </cell>
        </row>
        <row r="136">
          <cell r="B136" t="str">
            <v>Cause unauthorized disclosure and/or unavailability by spilling sensitive information</v>
          </cell>
        </row>
        <row r="137">
          <cell r="B137" t="str">
            <v>Obtain information by externally located interception of wireless network traffic</v>
          </cell>
        </row>
        <row r="138">
          <cell r="B138" t="str">
            <v>Obtain unauthorized access</v>
          </cell>
        </row>
        <row r="139">
          <cell r="B139" t="str">
            <v>Obtain sensitive data/information from publicly accessible information systems</v>
          </cell>
        </row>
        <row r="140">
          <cell r="B140" t="str">
            <v>Obtain information by opportunistically stealing or scavenging information systems/components</v>
          </cell>
        </row>
        <row r="141">
          <cell r="B141" t="str">
            <v>Obfuscate adversary actions</v>
          </cell>
        </row>
        <row r="142">
          <cell r="B142" t="str">
            <v>Adapt cyber attacks based on detailed surveillance</v>
          </cell>
        </row>
        <row r="143">
          <cell r="B143" t="str">
            <v>Coordinate a campaign of multi-staged attacks (e.g., hopping)</v>
          </cell>
        </row>
        <row r="144">
          <cell r="B144" t="str">
            <v>Coordinate a campaign that combines internal and external attacks across multiple information systems and information technologies</v>
          </cell>
        </row>
        <row r="145">
          <cell r="B145" t="str">
            <v>Coordinate campaigns across multiple organizations to acquire specific information or achieve desired outcome</v>
          </cell>
        </row>
        <row r="146">
          <cell r="B146" t="str">
            <v>Coordinate a campaign that spreads attacks across organizational systems from existing presence</v>
          </cell>
        </row>
        <row r="147">
          <cell r="B147" t="str">
            <v>Coordinate a campaign of continuous, adaptive, and changing cyber attacks based on detailed surveillance</v>
          </cell>
        </row>
        <row r="148">
          <cell r="B148" t="str">
            <v>Coordinate cyber attacks using external (outsider), internal (insider), and supply chain (supplier) attack vectors</v>
          </cell>
        </row>
      </sheetData>
      <sheetData sheetId="7">
        <row r="6">
          <cell r="B6" t="str">
            <v>active sessions after working hours</v>
          </cell>
        </row>
        <row r="7">
          <cell r="B7" t="str">
            <v>cable placing</v>
          </cell>
        </row>
        <row r="8">
          <cell r="B8" t="str">
            <v>complicated user interface</v>
          </cell>
        </row>
        <row r="9">
          <cell r="B9" t="str">
            <v>cryptographic keys accessible to unauthorized persons</v>
          </cell>
        </row>
        <row r="10">
          <cell r="B10" t="str">
            <v>disposal of storage media without erasing data</v>
          </cell>
        </row>
        <row r="11">
          <cell r="B11" t="str">
            <v>extensive powers</v>
          </cell>
        </row>
        <row r="12">
          <cell r="B12" t="str">
            <v>inadequate capacity management</v>
          </cell>
        </row>
        <row r="13">
          <cell r="B13" t="str">
            <v>inadequate change control</v>
          </cell>
        </row>
        <row r="14">
          <cell r="B14" t="str">
            <v>inadequate level of knowledge and/or awareness of employees</v>
          </cell>
        </row>
        <row r="15">
          <cell r="B15" t="str">
            <v>inadequate maintenance</v>
          </cell>
        </row>
        <row r="16">
          <cell r="B16" t="str">
            <v>inadequate network management</v>
          </cell>
        </row>
        <row r="17">
          <cell r="B17" t="str">
            <v>inadequate segregation of duties</v>
          </cell>
        </row>
        <row r="18">
          <cell r="B18" t="str">
            <v>inadequate supervision of external suppliers</v>
          </cell>
        </row>
        <row r="19">
          <cell r="B19" t="str">
            <v>inadequate supervision of the work of employees</v>
          </cell>
        </row>
        <row r="20">
          <cell r="B20" t="str">
            <v>inadequate user rights</v>
          </cell>
        </row>
        <row r="21">
          <cell r="B21" t="str">
            <v>information available to unauthorized persons</v>
          </cell>
        </row>
        <row r="22">
          <cell r="B22" t="str">
            <v>lack of evidence of sent or received messages</v>
          </cell>
        </row>
        <row r="23">
          <cell r="B23" t="str">
            <v>lack of input and output data control</v>
          </cell>
        </row>
        <row r="24">
          <cell r="B24" t="str">
            <v>lack of or poor internal audit implementation</v>
          </cell>
        </row>
        <row r="25">
          <cell r="B25" t="str">
            <v>lack of validation for processed data</v>
          </cell>
        </row>
        <row r="26">
          <cell r="B26" t="str">
            <v>location sensitive to natural disasters</v>
          </cell>
        </row>
        <row r="27">
          <cell r="B27" t="str">
            <v>location sensitive to water leakage</v>
          </cell>
        </row>
        <row r="28">
          <cell r="B28" t="str">
            <v>mobile equipment subject to theft</v>
          </cell>
        </row>
        <row r="29">
          <cell r="B29" t="str">
            <v>networks accessible to unauthorized persons</v>
          </cell>
        </row>
        <row r="30">
          <cell r="B30" t="str">
            <v>no deactivation of user accounts after termination of employment</v>
          </cell>
        </row>
        <row r="31">
          <cell r="B31" t="str">
            <v>no separation of test and operational environment</v>
          </cell>
        </row>
        <row r="32">
          <cell r="B32" t="str">
            <v>out-of-date databases for protection against malicious code</v>
          </cell>
        </row>
        <row r="33">
          <cell r="B33" t="str">
            <v>over-dependence on one device/system</v>
          </cell>
        </row>
        <row r="34">
          <cell r="B34" t="str">
            <v>poor selection of test data</v>
          </cell>
        </row>
        <row r="35">
          <cell r="B35" t="str">
            <v>sensitivity of equipment to humidity and pollution</v>
          </cell>
        </row>
        <row r="36">
          <cell r="B36" t="str">
            <v>sensitivity of equipment to temperature</v>
          </cell>
        </row>
        <row r="37">
          <cell r="B37" t="str">
            <v>sensitivity of equipment to voltage change</v>
          </cell>
        </row>
        <row r="38">
          <cell r="B38" t="str">
            <v>single copy, only one copy of information</v>
          </cell>
        </row>
        <row r="39">
          <cell r="B39" t="str">
            <v>system-generated user accounts and passwords remain unchanged</v>
          </cell>
        </row>
        <row r="40">
          <cell r="B40" t="str">
            <v>systems unprotected from unauthorized access</v>
          </cell>
        </row>
        <row r="41">
          <cell r="B41" t="str">
            <v>unauthorized access to facilities allowed</v>
          </cell>
        </row>
        <row r="42">
          <cell r="B42" t="str">
            <v>unclearly defined confidentiality level</v>
          </cell>
        </row>
        <row r="43">
          <cell r="B43" t="str">
            <v>unclearly defined cryptographic rules</v>
          </cell>
        </row>
        <row r="44">
          <cell r="B44" t="str">
            <v>unclearly defined organizational rules</v>
          </cell>
        </row>
        <row r="45">
          <cell r="B45" t="str">
            <v>unclearly defined requirements for software development</v>
          </cell>
        </row>
        <row r="46">
          <cell r="B46" t="str">
            <v>unclearly defined rules for access control</v>
          </cell>
        </row>
        <row r="47">
          <cell r="B47" t="str">
            <v>unclearly defined rules for working off-premises</v>
          </cell>
        </row>
        <row r="48">
          <cell r="B48" t="str">
            <v>uncontrolled copying</v>
          </cell>
        </row>
        <row r="49">
          <cell r="B49" t="str">
            <v>uncontrolled Internet downloads</v>
          </cell>
        </row>
        <row r="50">
          <cell r="B50" t="str">
            <v>uncontrolled use of information systems</v>
          </cell>
        </row>
        <row r="51">
          <cell r="B51" t="str">
            <v>undocumented software</v>
          </cell>
        </row>
        <row r="52">
          <cell r="B52" t="str">
            <v>unmotivated or disgruntled employees</v>
          </cell>
        </row>
        <row r="53">
          <cell r="B53" t="str">
            <v>unprotected public network connections</v>
          </cell>
        </row>
        <row r="54">
          <cell r="B54" t="str">
            <v>use of old equipment</v>
          </cell>
        </row>
        <row r="55">
          <cell r="B55" t="str">
            <v>weak passwords</v>
          </cell>
        </row>
      </sheetData>
      <sheetData sheetId="8">
        <row r="2">
          <cell r="B2" t="str">
            <v>COO</v>
          </cell>
        </row>
        <row r="3">
          <cell r="B3" t="str">
            <v>FAM</v>
          </cell>
        </row>
        <row r="4">
          <cell r="B4" t="str">
            <v>HFM</v>
          </cell>
        </row>
        <row r="5">
          <cell r="B5" t="str">
            <v>QM</v>
          </cell>
        </row>
        <row r="6">
          <cell r="B6" t="str">
            <v xml:space="preserve">SO </v>
          </cell>
        </row>
        <row r="7">
          <cell r="B7" t="str">
            <v>SS</v>
          </cell>
        </row>
        <row r="8">
          <cell r="B8" t="str">
            <v>STC</v>
          </cell>
        </row>
        <row r="9">
          <cell r="B9" t="str">
            <v>TEC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s &amp; Threats"/>
      <sheetName val="Cover (2)"/>
      <sheetName val="Cover"/>
      <sheetName val="1.0 Cascaded threats (BCM)"/>
      <sheetName val="1.1 Threats (Dodid)"/>
      <sheetName val="2.0 RA"/>
      <sheetName val="2.1 RA impact"/>
      <sheetName val="Guidelines"/>
      <sheetName val="2.2 Prioritized risks"/>
      <sheetName val="CatNet"/>
      <sheetName val="Key Risks Types"/>
      <sheetName val="Key Risks"/>
      <sheetName val="Threats list"/>
      <sheetName val="Severity"/>
      <sheetName val="Likelihood"/>
      <sheetName val="Impact (SE)"/>
      <sheetName val="Acceptance"/>
      <sheetName val="Policy-Framework"/>
      <sheetName val="RA-BIA flow"/>
      <sheetName val="Cascaded threats (example)"/>
      <sheetName val="RA (BCM) (sample)"/>
      <sheetName val="Prob"/>
      <sheetName val="Tolerance"/>
      <sheetName val="Cascaded threats (2)"/>
      <sheetName val="2.0 R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NA</v>
          </cell>
        </row>
        <row r="3">
          <cell r="A3" t="str">
            <v>Unspecified</v>
          </cell>
        </row>
        <row r="4">
          <cell r="A4" t="str">
            <v>Fire (and explosion) affecting operations and business</v>
          </cell>
        </row>
        <row r="5">
          <cell r="A5" t="str">
            <v>Flood in areas surrounding building</v>
          </cell>
        </row>
        <row r="6">
          <cell r="A6" t="str">
            <v>Prolonged power failure within office and building</v>
          </cell>
        </row>
        <row r="7">
          <cell r="A7" t="str">
            <v>Centralised air-con system failure</v>
          </cell>
        </row>
        <row r="8">
          <cell r="A8" t="str">
            <v>Internal plumbing or sprinkler failure</v>
          </cell>
        </row>
        <row r="9">
          <cell r="A9" t="str">
            <v>Terrorist attack on building, other nearby buildings or vicinity</v>
          </cell>
        </row>
        <row r="10">
          <cell r="A10" t="str">
            <v>People-related risks (external)</v>
          </cell>
        </row>
        <row r="11">
          <cell r="A11" t="str">
            <v>People-related risks (internal)</v>
          </cell>
        </row>
        <row r="12">
          <cell r="A12" t="str">
            <v>IT system failure</v>
          </cell>
        </row>
        <row r="13">
          <cell r="A13" t="str">
            <v>Telecommunications failure</v>
          </cell>
        </row>
        <row r="14">
          <cell r="A14" t="str">
            <v>Infectious diseases or health issues</v>
          </cell>
        </row>
        <row r="15">
          <cell r="A15" t="str">
            <v>Supply-chain disruption</v>
          </cell>
        </row>
        <row r="16">
          <cell r="A16" t="str">
            <v>Soil erosion issues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 treatment table"/>
      <sheetName val="Options"/>
      <sheetName val="Controls"/>
    </sheetNames>
    <sheetDataSet>
      <sheetData sheetId="0" refreshError="1"/>
      <sheetData sheetId="1">
        <row r="3">
          <cell r="A3" t="str">
            <v>1. Selection of controls</v>
          </cell>
        </row>
        <row r="4">
          <cell r="A4" t="str">
            <v>2. Transfer of risks to a third party</v>
          </cell>
        </row>
        <row r="5">
          <cell r="A5" t="str">
            <v>3. Risk avoidance</v>
          </cell>
        </row>
        <row r="6">
          <cell r="A6" t="str">
            <v>4. Risk acceptance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E14"/>
  <sheetViews>
    <sheetView showGridLines="0" tabSelected="1" workbookViewId="0">
      <selection activeCell="E16" sqref="E16"/>
    </sheetView>
  </sheetViews>
  <sheetFormatPr defaultRowHeight="15" x14ac:dyDescent="0.25"/>
  <cols>
    <col min="1" max="1" width="18" style="2" customWidth="1"/>
    <col min="2" max="2" width="15" style="2" customWidth="1"/>
    <col min="3" max="3" width="31.140625" style="2" customWidth="1"/>
    <col min="4" max="4" width="13.140625" style="2" customWidth="1"/>
    <col min="5" max="5" width="25.28515625" style="2" customWidth="1"/>
    <col min="6" max="6" width="15" style="2" customWidth="1"/>
    <col min="7" max="16384" width="9.140625" style="2"/>
  </cols>
  <sheetData>
    <row r="1" spans="2:5" ht="15.75" customHeight="1" x14ac:dyDescent="0.25"/>
    <row r="4" spans="2:5" ht="15.75" customHeight="1" x14ac:dyDescent="0.25"/>
    <row r="5" spans="2:5" ht="12.75" customHeight="1" x14ac:dyDescent="0.25"/>
    <row r="7" spans="2:5" ht="20.25" customHeight="1" x14ac:dyDescent="0.25">
      <c r="B7" s="3" t="s">
        <v>1</v>
      </c>
      <c r="C7" s="16" t="s">
        <v>49</v>
      </c>
      <c r="D7" s="16"/>
      <c r="E7" s="16"/>
    </row>
    <row r="8" spans="2:5" ht="20.25" hidden="1" customHeight="1" x14ac:dyDescent="0.25">
      <c r="B8" s="3" t="s">
        <v>2</v>
      </c>
      <c r="C8" s="17"/>
      <c r="D8" s="18"/>
      <c r="E8" s="19"/>
    </row>
    <row r="9" spans="2:5" ht="20.25" customHeight="1" x14ac:dyDescent="0.25">
      <c r="B9" s="3" t="s">
        <v>3</v>
      </c>
      <c r="C9" s="20"/>
      <c r="D9" s="21"/>
      <c r="E9" s="22"/>
    </row>
    <row r="10" spans="2:5" ht="20.25" customHeight="1" x14ac:dyDescent="0.25">
      <c r="B10" s="3" t="s">
        <v>4</v>
      </c>
      <c r="C10" s="4" t="s">
        <v>13</v>
      </c>
      <c r="D10" s="5"/>
      <c r="E10" s="6"/>
    </row>
    <row r="11" spans="2:5" ht="34.5" customHeight="1" x14ac:dyDescent="0.25">
      <c r="B11" s="7" t="s">
        <v>5</v>
      </c>
      <c r="C11" s="23" t="s">
        <v>6</v>
      </c>
      <c r="D11" s="24"/>
      <c r="E11" s="25"/>
    </row>
    <row r="12" spans="2:5" ht="20.25" customHeight="1" x14ac:dyDescent="0.25">
      <c r="B12" s="3" t="s">
        <v>7</v>
      </c>
      <c r="C12" s="8">
        <v>44176</v>
      </c>
      <c r="D12" s="3" t="s">
        <v>8</v>
      </c>
      <c r="E12" s="6" t="s">
        <v>9</v>
      </c>
    </row>
    <row r="13" spans="2:5" ht="20.25" customHeight="1" x14ac:dyDescent="0.25">
      <c r="B13" s="3" t="s">
        <v>10</v>
      </c>
      <c r="C13" s="9"/>
      <c r="D13" s="3" t="s">
        <v>11</v>
      </c>
      <c r="E13" s="10">
        <f>C12</f>
        <v>44176</v>
      </c>
    </row>
    <row r="14" spans="2:5" ht="20.25" customHeight="1" x14ac:dyDescent="0.25">
      <c r="B14" s="3" t="s">
        <v>12</v>
      </c>
      <c r="C14" s="9"/>
      <c r="D14" s="3" t="s">
        <v>11</v>
      </c>
      <c r="E14" s="10">
        <f>C12</f>
        <v>44176</v>
      </c>
    </row>
  </sheetData>
  <mergeCells count="4">
    <mergeCell ref="C7:E7"/>
    <mergeCell ref="C8:E8"/>
    <mergeCell ref="C9:E9"/>
    <mergeCell ref="C11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C15"/>
  <sheetViews>
    <sheetView workbookViewId="0">
      <selection activeCell="H15" sqref="H15"/>
    </sheetView>
  </sheetViews>
  <sheetFormatPr defaultRowHeight="15" x14ac:dyDescent="0.25"/>
  <cols>
    <col min="1" max="1" width="41.85546875" customWidth="1"/>
    <col min="2" max="2" width="21.85546875" customWidth="1"/>
    <col min="3" max="3" width="26.140625" customWidth="1"/>
  </cols>
  <sheetData>
    <row r="1" spans="1:3" x14ac:dyDescent="0.25">
      <c r="A1" s="13" t="s">
        <v>14</v>
      </c>
      <c r="B1" s="12" t="s">
        <v>1</v>
      </c>
      <c r="C1" s="12" t="s">
        <v>43</v>
      </c>
    </row>
    <row r="2" spans="1:3" x14ac:dyDescent="0.25">
      <c r="A2" s="11"/>
      <c r="B2" s="11"/>
      <c r="C2" s="11"/>
    </row>
    <row r="3" spans="1:3" x14ac:dyDescent="0.25">
      <c r="A3" s="11"/>
      <c r="B3" s="11"/>
      <c r="C3" s="11"/>
    </row>
    <row r="4" spans="1:3" x14ac:dyDescent="0.25">
      <c r="A4" s="11"/>
      <c r="B4" s="11"/>
      <c r="C4" s="11"/>
    </row>
    <row r="5" spans="1:3" x14ac:dyDescent="0.25">
      <c r="A5" s="11"/>
      <c r="B5" s="11"/>
      <c r="C5" s="11"/>
    </row>
    <row r="6" spans="1:3" x14ac:dyDescent="0.25">
      <c r="A6" s="11"/>
      <c r="B6" s="11"/>
      <c r="C6" s="11"/>
    </row>
    <row r="7" spans="1:3" x14ac:dyDescent="0.25">
      <c r="A7" s="11"/>
      <c r="B7" s="11"/>
      <c r="C7" s="11"/>
    </row>
    <row r="8" spans="1:3" x14ac:dyDescent="0.25">
      <c r="A8" s="11"/>
      <c r="B8" s="11"/>
      <c r="C8" s="11"/>
    </row>
    <row r="9" spans="1:3" x14ac:dyDescent="0.25">
      <c r="A9" s="11"/>
      <c r="B9" s="11"/>
      <c r="C9" s="11"/>
    </row>
    <row r="10" spans="1:3" x14ac:dyDescent="0.25">
      <c r="A10" s="11"/>
      <c r="B10" s="11"/>
      <c r="C10" s="11"/>
    </row>
    <row r="11" spans="1:3" x14ac:dyDescent="0.25">
      <c r="A11" s="11"/>
      <c r="B11" s="11"/>
      <c r="C11" s="11"/>
    </row>
    <row r="14" spans="1:3" x14ac:dyDescent="0.25">
      <c r="A14" s="29" t="s">
        <v>15</v>
      </c>
      <c r="B14" s="30"/>
      <c r="C14" s="31"/>
    </row>
    <row r="15" spans="1:3" ht="31.5" customHeight="1" x14ac:dyDescent="0.25">
      <c r="A15" s="26" t="s">
        <v>16</v>
      </c>
      <c r="B15" s="27"/>
      <c r="C15" s="28"/>
    </row>
  </sheetData>
  <mergeCells count="2">
    <mergeCell ref="A15:C15"/>
    <mergeCell ref="A14:C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18"/>
  <sheetViews>
    <sheetView workbookViewId="0"/>
  </sheetViews>
  <sheetFormatPr defaultRowHeight="15" x14ac:dyDescent="0.25"/>
  <cols>
    <col min="1" max="1" width="5.5703125" customWidth="1"/>
    <col min="2" max="2" width="74.140625" customWidth="1"/>
    <col min="3" max="3" width="12.42578125" customWidth="1"/>
    <col min="4" max="4" width="45.85546875" customWidth="1"/>
  </cols>
  <sheetData>
    <row r="1" spans="1:4" x14ac:dyDescent="0.25">
      <c r="A1" s="1" t="s">
        <v>0</v>
      </c>
    </row>
    <row r="2" spans="1:4" ht="6" customHeight="1" x14ac:dyDescent="0.25"/>
    <row r="3" spans="1:4" x14ac:dyDescent="0.25">
      <c r="A3" s="13" t="s">
        <v>17</v>
      </c>
      <c r="B3" s="12" t="s">
        <v>18</v>
      </c>
      <c r="C3" s="12" t="s">
        <v>11</v>
      </c>
      <c r="D3" s="12" t="s">
        <v>47</v>
      </c>
    </row>
    <row r="4" spans="1:4" x14ac:dyDescent="0.25">
      <c r="A4" s="15">
        <v>1</v>
      </c>
      <c r="B4" s="11" t="s">
        <v>27</v>
      </c>
      <c r="C4" s="11"/>
      <c r="D4" s="11"/>
    </row>
    <row r="5" spans="1:4" x14ac:dyDescent="0.25">
      <c r="A5" s="15">
        <v>2</v>
      </c>
      <c r="B5" s="11" t="s">
        <v>28</v>
      </c>
      <c r="C5" s="11"/>
      <c r="D5" s="11"/>
    </row>
    <row r="6" spans="1:4" x14ac:dyDescent="0.25">
      <c r="A6" s="15">
        <v>3</v>
      </c>
      <c r="B6" s="11" t="s">
        <v>19</v>
      </c>
      <c r="C6" s="11"/>
      <c r="D6" s="11"/>
    </row>
    <row r="7" spans="1:4" x14ac:dyDescent="0.25">
      <c r="A7" s="15">
        <v>4</v>
      </c>
      <c r="B7" s="11" t="s">
        <v>20</v>
      </c>
      <c r="C7" s="11"/>
      <c r="D7" s="11"/>
    </row>
    <row r="8" spans="1:4" x14ac:dyDescent="0.25">
      <c r="A8" s="15">
        <v>5</v>
      </c>
      <c r="B8" s="11" t="s">
        <v>21</v>
      </c>
      <c r="C8" s="11"/>
      <c r="D8" s="11"/>
    </row>
    <row r="9" spans="1:4" x14ac:dyDescent="0.25">
      <c r="A9" s="15">
        <v>6</v>
      </c>
      <c r="B9" s="11" t="s">
        <v>22</v>
      </c>
      <c r="C9" s="11"/>
      <c r="D9" s="11"/>
    </row>
    <row r="10" spans="1:4" x14ac:dyDescent="0.25">
      <c r="A10" s="15">
        <v>7</v>
      </c>
      <c r="B10" s="11" t="s">
        <v>23</v>
      </c>
      <c r="C10" s="11"/>
      <c r="D10" s="11"/>
    </row>
    <row r="11" spans="1:4" x14ac:dyDescent="0.25">
      <c r="A11" s="15">
        <v>8</v>
      </c>
      <c r="B11" s="11" t="s">
        <v>24</v>
      </c>
      <c r="C11" s="11"/>
      <c r="D11" s="11"/>
    </row>
    <row r="12" spans="1:4" ht="30" x14ac:dyDescent="0.25">
      <c r="A12" s="15">
        <v>9</v>
      </c>
      <c r="B12" s="14" t="s">
        <v>29</v>
      </c>
      <c r="C12" s="11"/>
      <c r="D12" s="11"/>
    </row>
    <row r="13" spans="1:4" x14ac:dyDescent="0.25">
      <c r="A13" s="15">
        <v>10</v>
      </c>
      <c r="B13" s="14" t="s">
        <v>46</v>
      </c>
      <c r="C13" s="11"/>
      <c r="D13" s="11"/>
    </row>
    <row r="14" spans="1:4" x14ac:dyDescent="0.25">
      <c r="A14" s="15">
        <v>11</v>
      </c>
      <c r="B14" s="11" t="s">
        <v>25</v>
      </c>
      <c r="C14" s="11"/>
      <c r="D14" s="11" t="s">
        <v>48</v>
      </c>
    </row>
    <row r="15" spans="1:4" ht="32.25" customHeight="1" x14ac:dyDescent="0.25">
      <c r="A15" s="15">
        <v>12</v>
      </c>
      <c r="B15" s="14" t="s">
        <v>26</v>
      </c>
      <c r="C15" s="11"/>
      <c r="D15" s="11"/>
    </row>
    <row r="16" spans="1:4" x14ac:dyDescent="0.25">
      <c r="A16" s="15">
        <v>13</v>
      </c>
      <c r="B16" s="11" t="s">
        <v>30</v>
      </c>
      <c r="C16" s="11"/>
      <c r="D16" s="11"/>
    </row>
    <row r="17" spans="1:4" x14ac:dyDescent="0.25">
      <c r="A17" s="15">
        <v>14</v>
      </c>
      <c r="B17" s="11" t="s">
        <v>31</v>
      </c>
      <c r="C17" s="11"/>
      <c r="D17" s="11"/>
    </row>
    <row r="18" spans="1:4" x14ac:dyDescent="0.25">
      <c r="A18" s="11"/>
      <c r="B18" s="11"/>
      <c r="C18" s="11"/>
      <c r="D1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C14"/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1" width="5.5703125" customWidth="1"/>
    <col min="2" max="2" width="66.7109375" customWidth="1"/>
    <col min="3" max="3" width="69.28515625" customWidth="1"/>
  </cols>
  <sheetData>
    <row r="1" spans="1:3" x14ac:dyDescent="0.25">
      <c r="A1" s="1" t="s">
        <v>44</v>
      </c>
    </row>
    <row r="2" spans="1:3" ht="6" customHeight="1" x14ac:dyDescent="0.25"/>
    <row r="3" spans="1:3" x14ac:dyDescent="0.25">
      <c r="A3" s="13" t="s">
        <v>17</v>
      </c>
      <c r="B3" s="12" t="s">
        <v>32</v>
      </c>
      <c r="C3" s="12" t="s">
        <v>45</v>
      </c>
    </row>
    <row r="4" spans="1:3" x14ac:dyDescent="0.25">
      <c r="A4" s="15">
        <v>1</v>
      </c>
      <c r="B4" s="11" t="s">
        <v>33</v>
      </c>
      <c r="C4" s="11"/>
    </row>
    <row r="5" spans="1:3" x14ac:dyDescent="0.25">
      <c r="A5" s="15">
        <v>2</v>
      </c>
      <c r="B5" s="11" t="s">
        <v>34</v>
      </c>
      <c r="C5" s="11"/>
    </row>
    <row r="6" spans="1:3" x14ac:dyDescent="0.25">
      <c r="A6" s="15">
        <v>3</v>
      </c>
      <c r="B6" s="11" t="s">
        <v>35</v>
      </c>
      <c r="C6" s="11"/>
    </row>
    <row r="7" spans="1:3" x14ac:dyDescent="0.25">
      <c r="A7" s="15">
        <v>4</v>
      </c>
      <c r="B7" s="11" t="s">
        <v>36</v>
      </c>
      <c r="C7" s="11"/>
    </row>
    <row r="8" spans="1:3" x14ac:dyDescent="0.25">
      <c r="A8" s="15">
        <v>5</v>
      </c>
      <c r="B8" s="11" t="s">
        <v>37</v>
      </c>
      <c r="C8" s="11"/>
    </row>
    <row r="9" spans="1:3" x14ac:dyDescent="0.25">
      <c r="A9" s="15">
        <v>6</v>
      </c>
      <c r="B9" s="11" t="s">
        <v>38</v>
      </c>
      <c r="C9" s="11"/>
    </row>
    <row r="10" spans="1:3" x14ac:dyDescent="0.25">
      <c r="A10" s="15">
        <v>7</v>
      </c>
      <c r="B10" s="11" t="s">
        <v>39</v>
      </c>
      <c r="C10" s="11"/>
    </row>
    <row r="11" spans="1:3" x14ac:dyDescent="0.25">
      <c r="A11" s="15">
        <v>8</v>
      </c>
      <c r="B11" s="11" t="s">
        <v>40</v>
      </c>
      <c r="C11" s="11"/>
    </row>
    <row r="12" spans="1:3" x14ac:dyDescent="0.25">
      <c r="A12" s="15">
        <v>9</v>
      </c>
      <c r="B12" s="14" t="s">
        <v>41</v>
      </c>
      <c r="C12" s="11"/>
    </row>
    <row r="13" spans="1:3" ht="30" x14ac:dyDescent="0.25">
      <c r="A13" s="15">
        <v>10</v>
      </c>
      <c r="B13" s="14" t="s">
        <v>42</v>
      </c>
      <c r="C13" s="11"/>
    </row>
    <row r="14" spans="1:3" x14ac:dyDescent="0.25">
      <c r="A14" s="11"/>
      <c r="B14" s="11"/>
      <c r="C1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Attendence</vt:lpstr>
      <vt:lpstr>Topics</vt:lpstr>
      <vt:lpstr>Decisions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MRM records</dc:title>
  <dc:subject>ISMS</dc:subject>
  <dc:creator>LimSS</dc:creator>
  <cp:lastModifiedBy>Lim Sek Seong</cp:lastModifiedBy>
  <dcterms:created xsi:type="dcterms:W3CDTF">2019-10-02T09:06:08Z</dcterms:created>
  <dcterms:modified xsi:type="dcterms:W3CDTF">2020-12-11T03:24:12Z</dcterms:modified>
</cp:coreProperties>
</file>