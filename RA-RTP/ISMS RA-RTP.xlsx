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G:\MyWork\Projects 2020\SG\AgileLab (QuESH)\AgileLab ISMS\Agile Lab ISMS (DRAFT)\AL ISMS review 201021\"/>
    </mc:Choice>
  </mc:AlternateContent>
  <bookViews>
    <workbookView xWindow="390" yWindow="270" windowWidth="14670" windowHeight="7110" tabRatio="929" activeTab="2"/>
  </bookViews>
  <sheets>
    <sheet name="Cover" sheetId="28" r:id="rId1"/>
    <sheet name="RA-RTP (Aug2019) (2)" sheetId="33" state="hidden" r:id="rId2"/>
    <sheet name="Applicability" sheetId="34" r:id="rId3"/>
    <sheet name="RA-RTP (2020)" sheetId="29" r:id="rId4"/>
    <sheet name="Assets (2)" sheetId="30" state="hidden" r:id="rId5"/>
    <sheet name="RA-RTP" sheetId="15" state="hidden" r:id="rId6"/>
    <sheet name="RA-RTP (3)" sheetId="32" state="hidden" r:id="rId7"/>
    <sheet name="Owners" sheetId="5" r:id="rId8"/>
    <sheet name="Asset-types (check)" sheetId="21" r:id="rId9"/>
    <sheet name="Threats" sheetId="3" r:id="rId10"/>
    <sheet name="Vulnerabilities" sheetId="4" r:id="rId11"/>
    <sheet name="Impact" sheetId="6" r:id="rId12"/>
    <sheet name="Likelihood" sheetId="7" r:id="rId13"/>
    <sheet name="Acceptance" sheetId="8" r:id="rId14"/>
    <sheet name="Controls" sheetId="9" r:id="rId15"/>
    <sheet name="RTP Options" sheetId="25" r:id="rId16"/>
    <sheet name="RTP status" sheetId="24" r:id="rId17"/>
  </sheets>
  <externalReferences>
    <externalReference r:id="rId18"/>
    <externalReference r:id="rId19"/>
    <externalReference r:id="rId20"/>
    <externalReference r:id="rId21"/>
    <externalReference r:id="rId22"/>
  </externalReferences>
  <definedNames>
    <definedName name="_Check.Y.N">[3]Lists!$A$1:$A$2</definedName>
    <definedName name="_xlnm._FilterDatabase" localSheetId="8" hidden="1">'Asset-types (check)'!$A$1:$D$31</definedName>
    <definedName name="AssetsList" localSheetId="2">[4]Assets!$A$2:$A$50</definedName>
    <definedName name="AssetsList" localSheetId="4">'Assets (2)'!$A$2:$A$500</definedName>
    <definedName name="AssetsList">'Asset-types (check)'!$A$2:$A$53</definedName>
    <definedName name="Consolidated_Threat_Hazard_Categories">'[1]Key Risks'!$A$2:$A$21</definedName>
    <definedName name="Dept.or.Function">'[5]Lookup lists'!$A$2:$A$21</definedName>
    <definedName name="DocList">#REF!</definedName>
    <definedName name="DocsList" localSheetId="2">'[4]Master list'!$E$2:$E$39</definedName>
    <definedName name="DocsList">#REF!</definedName>
    <definedName name="ISMSrecords" localSheetId="4">#REF!</definedName>
    <definedName name="KontroleID">Controls!$A$3:$A$116</definedName>
    <definedName name="LikelihoodRating" localSheetId="2">[4]Likelihood!$A$2:$A$6</definedName>
    <definedName name="LikelihoodRating">Likelihood!$A$2:$A$6</definedName>
    <definedName name="ListaPrijetnji">Threats!$B$5:$B$52</definedName>
    <definedName name="ListaPrijetnji2">Threats!$B$5:$B$62</definedName>
    <definedName name="Opcije">'RTP Options'!$A$2:$A$5</definedName>
    <definedName name="Options">[2]Options!$A$3:$A$6</definedName>
    <definedName name="Options2">'RTP Options'!$A$9:$A$12</definedName>
    <definedName name="Prijetnja" localSheetId="9">Threats!$B$5:$B$52</definedName>
    <definedName name="Prijetnja">Threats!$B$5:$B$52</definedName>
    <definedName name="_xlnm.Print_Titles" localSheetId="5">'RA-RTP'!$2:$2</definedName>
    <definedName name="_xlnm.Print_Titles" localSheetId="3">'RA-RTP (2020)'!$2:$2</definedName>
    <definedName name="_xlnm.Print_Titles" localSheetId="6">'RA-RTP (3)'!$2:$2</definedName>
    <definedName name="_xlnm.Print_Titles" localSheetId="1">'RA-RTP (Aug2019) (2)'!$2:$2</definedName>
    <definedName name="RatingAvailability" localSheetId="2">[4]Impact!$A$19:$A$23</definedName>
    <definedName name="RatingAvailability">Impact!$A$19:$A$23</definedName>
    <definedName name="RatingConfidentiality" localSheetId="2">[4]Impact!$A$3:$A$7</definedName>
    <definedName name="RatingConfidentiality">Impact!$A$3:$A$7</definedName>
    <definedName name="RatingIntegrity" localSheetId="2">[4]Impact!$A$11:$A$15</definedName>
    <definedName name="RatingIntegrity">Impact!$A$11:$A$15</definedName>
    <definedName name="RiskOwners" localSheetId="2">[4]Owners!$B$2:$B$20</definedName>
    <definedName name="RiskOwners">Owners!$B$2:$B$20</definedName>
    <definedName name="RTPoptions" localSheetId="2">'[4]RTP Options'!$A$2:$A$12</definedName>
    <definedName name="RTPoptions">'RTP Options'!$A$2:$A$12</definedName>
    <definedName name="RTPstatus" localSheetId="2">'[4]RTP status'!$A$2:$A$17</definedName>
    <definedName name="RTPstatus">'RTP status'!$A$2:$A$17</definedName>
    <definedName name="ThreatsList" localSheetId="2">[4]Threats!$B$5:$B$197</definedName>
    <definedName name="ThreatsList">Threats!$B$5:$B$197</definedName>
    <definedName name="Vulberability2" localSheetId="2">#REF!</definedName>
    <definedName name="Vulberability2" localSheetId="4">#REF!</definedName>
    <definedName name="Vulberability2" localSheetId="3">#REF!</definedName>
    <definedName name="Vulberability2" localSheetId="6">#REF!</definedName>
    <definedName name="Vulberability2" localSheetId="1">#REF!</definedName>
    <definedName name="Vulberability2">#REF!</definedName>
    <definedName name="VulnerabitiesList" localSheetId="2">[4]Vulnerabilities!$B$6:$B$300</definedName>
    <definedName name="VulnerabitiesList">Vulnerabilities!$B$6:$B$300</definedName>
  </definedNames>
  <calcPr calcId="162913"/>
</workbook>
</file>

<file path=xl/calcChain.xml><?xml version="1.0" encoding="utf-8"?>
<calcChain xmlns="http://schemas.openxmlformats.org/spreadsheetml/2006/main">
  <c r="E16" i="28" l="1"/>
  <c r="J63" i="29"/>
  <c r="L63" i="29"/>
  <c r="F63" i="29"/>
  <c r="J62" i="29"/>
  <c r="L62" i="29"/>
  <c r="F62" i="29"/>
  <c r="J61" i="29"/>
  <c r="L61" i="29"/>
  <c r="F61" i="29"/>
  <c r="J60" i="29"/>
  <c r="L60" i="29"/>
  <c r="J109" i="29"/>
  <c r="L109" i="29"/>
  <c r="F109" i="29"/>
  <c r="J108" i="29"/>
  <c r="L108" i="29"/>
  <c r="F108" i="29"/>
  <c r="J107" i="29"/>
  <c r="L107" i="29"/>
  <c r="F107" i="29"/>
  <c r="J106" i="29"/>
  <c r="L106" i="29"/>
  <c r="F106" i="29"/>
  <c r="J105" i="29"/>
  <c r="L105" i="29"/>
  <c r="F105" i="29"/>
  <c r="J104" i="29"/>
  <c r="L104" i="29"/>
  <c r="F104" i="29"/>
  <c r="J103" i="29"/>
  <c r="L103" i="29"/>
  <c r="J102" i="29"/>
  <c r="L102" i="29"/>
  <c r="J101" i="29"/>
  <c r="L101" i="29"/>
  <c r="J100" i="29"/>
  <c r="L100" i="29"/>
  <c r="F100" i="29"/>
  <c r="J99" i="29"/>
  <c r="L99" i="29"/>
  <c r="F99" i="29"/>
  <c r="J98" i="29"/>
  <c r="L98" i="29"/>
  <c r="C22" i="21"/>
  <c r="C21" i="21"/>
  <c r="C7" i="21"/>
  <c r="C27" i="21"/>
  <c r="C16" i="21"/>
  <c r="C5" i="21"/>
  <c r="C28" i="21"/>
  <c r="C10" i="21"/>
  <c r="C11" i="21"/>
  <c r="C14" i="21"/>
  <c r="C8" i="21"/>
  <c r="C17" i="21"/>
  <c r="C18" i="21"/>
  <c r="C12" i="21"/>
  <c r="C26" i="21"/>
  <c r="C25" i="21"/>
  <c r="C29" i="21"/>
  <c r="C13" i="21"/>
  <c r="C4" i="21"/>
  <c r="C3" i="21"/>
  <c r="C24" i="21"/>
  <c r="C23" i="21"/>
  <c r="C15" i="21"/>
  <c r="C6" i="21"/>
  <c r="C31" i="21"/>
  <c r="C30" i="21"/>
  <c r="C20" i="21"/>
  <c r="C19" i="21"/>
  <c r="C2" i="21"/>
  <c r="C32" i="21"/>
  <c r="C33" i="21"/>
  <c r="C34" i="21"/>
  <c r="C35" i="21"/>
  <c r="C36" i="21"/>
  <c r="C37" i="21"/>
  <c r="C9" i="21"/>
  <c r="D22" i="21"/>
  <c r="D21" i="21"/>
  <c r="D7" i="21"/>
  <c r="D27" i="21"/>
  <c r="D16" i="21"/>
  <c r="D5" i="21"/>
  <c r="D28" i="21"/>
  <c r="D10" i="21"/>
  <c r="D11" i="21"/>
  <c r="D14" i="21"/>
  <c r="D8" i="21"/>
  <c r="D17" i="21"/>
  <c r="D18" i="21"/>
  <c r="D12" i="21"/>
  <c r="D26" i="21"/>
  <c r="D25" i="21"/>
  <c r="D29" i="21"/>
  <c r="D13" i="21"/>
  <c r="D4" i="21"/>
  <c r="D3" i="21"/>
  <c r="D24" i="21"/>
  <c r="D23" i="21"/>
  <c r="D15" i="21"/>
  <c r="D6" i="21"/>
  <c r="D31" i="21"/>
  <c r="D30" i="21"/>
  <c r="D20" i="21"/>
  <c r="D19" i="21"/>
  <c r="D2" i="21"/>
  <c r="D9" i="21"/>
  <c r="D33" i="21"/>
  <c r="D34" i="21"/>
  <c r="D35" i="21"/>
  <c r="D36" i="21"/>
  <c r="D37" i="21"/>
  <c r="D32" i="21"/>
  <c r="J173" i="29"/>
  <c r="L173" i="29"/>
  <c r="F173" i="29"/>
  <c r="J172" i="29"/>
  <c r="L172" i="29"/>
  <c r="F172" i="29"/>
  <c r="J171" i="29"/>
  <c r="L171" i="29"/>
  <c r="F171" i="29"/>
  <c r="J170" i="29"/>
  <c r="L170" i="29"/>
  <c r="J368" i="33"/>
  <c r="L368" i="33"/>
  <c r="F368" i="33"/>
  <c r="L367" i="33"/>
  <c r="J367" i="33"/>
  <c r="F367" i="33"/>
  <c r="J366" i="33"/>
  <c r="L366" i="33"/>
  <c r="F366" i="33"/>
  <c r="J365" i="33"/>
  <c r="L365" i="33"/>
  <c r="F365" i="33"/>
  <c r="J364" i="33"/>
  <c r="L364" i="33"/>
  <c r="F364" i="33"/>
  <c r="L363" i="33"/>
  <c r="J363" i="33"/>
  <c r="J362" i="33"/>
  <c r="L362" i="33"/>
  <c r="L361" i="33"/>
  <c r="J361" i="33"/>
  <c r="J360" i="33"/>
  <c r="L360" i="33"/>
  <c r="F360" i="33"/>
  <c r="J359" i="33"/>
  <c r="L359" i="33"/>
  <c r="F359" i="33"/>
  <c r="L358" i="33"/>
  <c r="J358" i="33"/>
  <c r="J357" i="33"/>
  <c r="L357" i="33"/>
  <c r="L356" i="33"/>
  <c r="J356" i="33"/>
  <c r="F356" i="33"/>
  <c r="J355" i="33"/>
  <c r="L355" i="33"/>
  <c r="L354" i="33"/>
  <c r="J353" i="33"/>
  <c r="L353" i="33"/>
  <c r="F353" i="33"/>
  <c r="L352" i="33"/>
  <c r="J352" i="33"/>
  <c r="L351" i="33"/>
  <c r="L350" i="33"/>
  <c r="J350" i="33"/>
  <c r="F350" i="33"/>
  <c r="J349" i="33"/>
  <c r="L349" i="33"/>
  <c r="L348" i="33"/>
  <c r="J347" i="33"/>
  <c r="L347" i="33"/>
  <c r="F347" i="33"/>
  <c r="L346" i="33"/>
  <c r="J346" i="33"/>
  <c r="J345" i="33"/>
  <c r="L345" i="33"/>
  <c r="J344" i="33"/>
  <c r="L344" i="33"/>
  <c r="F344" i="33"/>
  <c r="L343" i="33"/>
  <c r="J343" i="33"/>
  <c r="J342" i="33"/>
  <c r="L342" i="33"/>
  <c r="L341" i="33"/>
  <c r="J341" i="33"/>
  <c r="F341" i="33"/>
  <c r="J340" i="33"/>
  <c r="L340" i="33"/>
  <c r="J339" i="33"/>
  <c r="L339" i="33"/>
  <c r="J338" i="33"/>
  <c r="L338" i="33"/>
  <c r="F338" i="33"/>
  <c r="J337" i="33"/>
  <c r="L337" i="33"/>
  <c r="L336" i="33"/>
  <c r="J336" i="33"/>
  <c r="J335" i="33"/>
  <c r="L335" i="33"/>
  <c r="F335" i="33"/>
  <c r="L334" i="33"/>
  <c r="J334" i="33"/>
  <c r="J333" i="33"/>
  <c r="L333" i="33"/>
  <c r="J332" i="33"/>
  <c r="L332" i="33"/>
  <c r="F332" i="33"/>
  <c r="L331" i="33"/>
  <c r="J331" i="33"/>
  <c r="J330" i="33"/>
  <c r="L330" i="33"/>
  <c r="L329" i="33"/>
  <c r="J329" i="33"/>
  <c r="F329" i="33"/>
  <c r="J328" i="33"/>
  <c r="L328" i="33"/>
  <c r="J327" i="33"/>
  <c r="L327" i="33"/>
  <c r="J326" i="33"/>
  <c r="L326" i="33"/>
  <c r="F326" i="33"/>
  <c r="J325" i="33"/>
  <c r="L325" i="33"/>
  <c r="L324" i="33"/>
  <c r="J324" i="33"/>
  <c r="J323" i="33"/>
  <c r="L323" i="33"/>
  <c r="F323" i="33"/>
  <c r="J322" i="33"/>
  <c r="L322" i="33"/>
  <c r="J321" i="33"/>
  <c r="L321" i="33"/>
  <c r="J320" i="33"/>
  <c r="L320" i="33"/>
  <c r="F320" i="33"/>
  <c r="L319" i="33"/>
  <c r="J319" i="33"/>
  <c r="J318" i="33"/>
  <c r="L318" i="33"/>
  <c r="F318" i="33"/>
  <c r="J317" i="33"/>
  <c r="L317" i="33"/>
  <c r="F317" i="33"/>
  <c r="L316" i="33"/>
  <c r="J316" i="33"/>
  <c r="F316" i="33"/>
  <c r="J315" i="33"/>
  <c r="L315" i="33"/>
  <c r="J314" i="33"/>
  <c r="L314" i="33"/>
  <c r="J313" i="33"/>
  <c r="L313" i="33"/>
  <c r="F313" i="33"/>
  <c r="J312" i="33"/>
  <c r="L312" i="33"/>
  <c r="F312" i="33"/>
  <c r="J311" i="33"/>
  <c r="L311" i="33"/>
  <c r="F311" i="33"/>
  <c r="L310" i="33"/>
  <c r="J310" i="33"/>
  <c r="J309" i="33"/>
  <c r="L309" i="33"/>
  <c r="L308" i="33"/>
  <c r="J308" i="33"/>
  <c r="J307" i="33"/>
  <c r="L307" i="33"/>
  <c r="F307" i="33"/>
  <c r="J306" i="33"/>
  <c r="L306" i="33"/>
  <c r="J305" i="33"/>
  <c r="L305" i="33"/>
  <c r="F305" i="33"/>
  <c r="J304" i="33"/>
  <c r="L304" i="33"/>
  <c r="F304" i="33"/>
  <c r="J303" i="33"/>
  <c r="L303" i="33"/>
  <c r="F303" i="33"/>
  <c r="L302" i="33"/>
  <c r="J302" i="33"/>
  <c r="F302" i="33"/>
  <c r="J301" i="33"/>
  <c r="L301" i="33"/>
  <c r="F301" i="33"/>
  <c r="J300" i="33"/>
  <c r="L300" i="33"/>
  <c r="F300" i="33"/>
  <c r="J299" i="33"/>
  <c r="L299" i="33"/>
  <c r="J298" i="33"/>
  <c r="L298" i="33"/>
  <c r="J297" i="33"/>
  <c r="L297" i="33"/>
  <c r="J296" i="33"/>
  <c r="L296" i="33"/>
  <c r="F296" i="33"/>
  <c r="J295" i="33"/>
  <c r="L295" i="33"/>
  <c r="F295" i="33"/>
  <c r="J294" i="33"/>
  <c r="L294" i="33"/>
  <c r="J293" i="33"/>
  <c r="L293" i="33"/>
  <c r="F293" i="33"/>
  <c r="J292" i="33"/>
  <c r="L292" i="33"/>
  <c r="F292" i="33"/>
  <c r="J291" i="33"/>
  <c r="L291" i="33"/>
  <c r="F291" i="33"/>
  <c r="L290" i="33"/>
  <c r="J290" i="33"/>
  <c r="F290" i="33"/>
  <c r="J289" i="33"/>
  <c r="L289" i="33"/>
  <c r="J287" i="33"/>
  <c r="L287" i="33"/>
  <c r="F287" i="33"/>
  <c r="L286" i="33"/>
  <c r="J286" i="33"/>
  <c r="F286" i="33"/>
  <c r="J285" i="33"/>
  <c r="L285" i="33"/>
  <c r="F285" i="33"/>
  <c r="J284" i="33"/>
  <c r="L284" i="33"/>
  <c r="F284" i="33"/>
  <c r="J283" i="33"/>
  <c r="L283" i="33"/>
  <c r="F283" i="33"/>
  <c r="L282" i="33"/>
  <c r="J282" i="33"/>
  <c r="J281" i="33"/>
  <c r="L281" i="33"/>
  <c r="L280" i="33"/>
  <c r="J280" i="33"/>
  <c r="J279" i="33"/>
  <c r="L279" i="33"/>
  <c r="F279" i="33"/>
  <c r="J278" i="33"/>
  <c r="L278" i="33"/>
  <c r="F278" i="33"/>
  <c r="L277" i="33"/>
  <c r="J277" i="33"/>
  <c r="J275" i="33"/>
  <c r="L275" i="33"/>
  <c r="F275" i="33"/>
  <c r="J274" i="33"/>
  <c r="L274" i="33"/>
  <c r="F274" i="33"/>
  <c r="L273" i="33"/>
  <c r="J273" i="33"/>
  <c r="F273" i="33"/>
  <c r="J272" i="33"/>
  <c r="L272" i="33"/>
  <c r="F272" i="33"/>
  <c r="J271" i="33"/>
  <c r="L271" i="33"/>
  <c r="F271" i="33"/>
  <c r="J270" i="33"/>
  <c r="L270" i="33"/>
  <c r="J269" i="33"/>
  <c r="L269" i="33"/>
  <c r="J268" i="33"/>
  <c r="L268" i="33"/>
  <c r="J267" i="33"/>
  <c r="L267" i="33"/>
  <c r="F267" i="33"/>
  <c r="J266" i="33"/>
  <c r="L266" i="33"/>
  <c r="F266" i="33"/>
  <c r="J265" i="33"/>
  <c r="L265" i="33"/>
  <c r="J264" i="33"/>
  <c r="L264" i="33"/>
  <c r="F264" i="33"/>
  <c r="J263" i="33"/>
  <c r="L263" i="33"/>
  <c r="F263" i="33"/>
  <c r="J262" i="33"/>
  <c r="L262" i="33"/>
  <c r="F262" i="33"/>
  <c r="L261" i="33"/>
  <c r="J261" i="33"/>
  <c r="F261" i="33"/>
  <c r="J260" i="33"/>
  <c r="L260" i="33"/>
  <c r="F260" i="33"/>
  <c r="J259" i="33"/>
  <c r="L259" i="33"/>
  <c r="F259" i="33"/>
  <c r="J258" i="33"/>
  <c r="L258" i="33"/>
  <c r="J257" i="33"/>
  <c r="L257" i="33"/>
  <c r="J256" i="33"/>
  <c r="L256" i="33"/>
  <c r="J255" i="33"/>
  <c r="L255" i="33"/>
  <c r="F255" i="33"/>
  <c r="J254" i="33"/>
  <c r="L254" i="33"/>
  <c r="F254" i="33"/>
  <c r="J253" i="33"/>
  <c r="L253" i="33"/>
  <c r="J252" i="33"/>
  <c r="L252" i="33"/>
  <c r="J251" i="33"/>
  <c r="L251" i="33"/>
  <c r="F251" i="33"/>
  <c r="L250" i="33"/>
  <c r="J250" i="33"/>
  <c r="F250" i="33"/>
  <c r="J249" i="33"/>
  <c r="L249" i="33"/>
  <c r="F249" i="33"/>
  <c r="J248" i="33"/>
  <c r="L248" i="33"/>
  <c r="L247" i="33"/>
  <c r="J247" i="33"/>
  <c r="J246" i="33"/>
  <c r="L246" i="33"/>
  <c r="L245" i="33"/>
  <c r="J245" i="33"/>
  <c r="F245" i="33"/>
  <c r="J244" i="33"/>
  <c r="L244" i="33"/>
  <c r="J243" i="33"/>
  <c r="L243" i="33"/>
  <c r="J242" i="33"/>
  <c r="L242" i="33"/>
  <c r="F242" i="33"/>
  <c r="J241" i="33"/>
  <c r="L241" i="33"/>
  <c r="F241" i="33"/>
  <c r="J240" i="33"/>
  <c r="L240" i="33"/>
  <c r="F240" i="33"/>
  <c r="L239" i="33"/>
  <c r="J239" i="33"/>
  <c r="J238" i="33"/>
  <c r="L238" i="33"/>
  <c r="L237" i="33"/>
  <c r="J237" i="33"/>
  <c r="J236" i="33"/>
  <c r="L236" i="33"/>
  <c r="F236" i="33"/>
  <c r="L235" i="33"/>
  <c r="J235" i="33"/>
  <c r="J234" i="33"/>
  <c r="L234" i="33"/>
  <c r="F234" i="33"/>
  <c r="J233" i="33"/>
  <c r="L233" i="33"/>
  <c r="F233" i="33"/>
  <c r="J232" i="33"/>
  <c r="L232" i="33"/>
  <c r="F232" i="33"/>
  <c r="L231" i="33"/>
  <c r="J231" i="33"/>
  <c r="J230" i="33"/>
  <c r="L230" i="33"/>
  <c r="F230" i="33"/>
  <c r="J229" i="33"/>
  <c r="L229" i="33"/>
  <c r="F229" i="33"/>
  <c r="L228" i="33"/>
  <c r="J228" i="33"/>
  <c r="J227" i="33"/>
  <c r="L227" i="33"/>
  <c r="F227" i="33"/>
  <c r="J226" i="33"/>
  <c r="L226" i="33"/>
  <c r="F226" i="33"/>
  <c r="L225" i="33"/>
  <c r="J225" i="33"/>
  <c r="F225" i="33"/>
  <c r="J224" i="33"/>
  <c r="L224" i="33"/>
  <c r="J223" i="33"/>
  <c r="L223" i="33"/>
  <c r="F223" i="33"/>
  <c r="L222" i="33"/>
  <c r="J222" i="33"/>
  <c r="F222" i="33"/>
  <c r="J221" i="33"/>
  <c r="L221" i="33"/>
  <c r="F221" i="33"/>
  <c r="J220" i="33"/>
  <c r="L220" i="33"/>
  <c r="L219" i="33"/>
  <c r="J219" i="33"/>
  <c r="F219" i="33"/>
  <c r="J218" i="33"/>
  <c r="L218" i="33"/>
  <c r="F218" i="33"/>
  <c r="J217" i="33"/>
  <c r="L217" i="33"/>
  <c r="F217" i="33"/>
  <c r="J216" i="33"/>
  <c r="L216" i="33"/>
  <c r="J215" i="33"/>
  <c r="L215" i="33"/>
  <c r="F215" i="33"/>
  <c r="J214" i="33"/>
  <c r="L214" i="33"/>
  <c r="F214" i="33"/>
  <c r="J213" i="33"/>
  <c r="L213" i="33"/>
  <c r="F213" i="33"/>
  <c r="L212" i="33"/>
  <c r="J212" i="33"/>
  <c r="J211" i="33"/>
  <c r="L211" i="33"/>
  <c r="F211" i="33"/>
  <c r="J210" i="33"/>
  <c r="L210" i="33"/>
  <c r="F210" i="33"/>
  <c r="L209" i="33"/>
  <c r="J209" i="33"/>
  <c r="F209" i="33"/>
  <c r="J208" i="33"/>
  <c r="L208" i="33"/>
  <c r="J207" i="33"/>
  <c r="L207" i="33"/>
  <c r="F207" i="33"/>
  <c r="L206" i="33"/>
  <c r="J206" i="33"/>
  <c r="F206" i="33"/>
  <c r="J205" i="33"/>
  <c r="L205" i="33"/>
  <c r="F205" i="33"/>
  <c r="J204" i="33"/>
  <c r="L204" i="33"/>
  <c r="L203" i="33"/>
  <c r="J203" i="33"/>
  <c r="F203" i="33"/>
  <c r="J202" i="33"/>
  <c r="L202" i="33"/>
  <c r="F202" i="33"/>
  <c r="J201" i="33"/>
  <c r="L201" i="33"/>
  <c r="F201" i="33"/>
  <c r="J200" i="33"/>
  <c r="L200" i="33"/>
  <c r="J199" i="33"/>
  <c r="L199" i="33"/>
  <c r="F199" i="33"/>
  <c r="J198" i="33"/>
  <c r="L198" i="33"/>
  <c r="F198" i="33"/>
  <c r="J197" i="33"/>
  <c r="L197" i="33"/>
  <c r="F197" i="33"/>
  <c r="L196" i="33"/>
  <c r="J196" i="33"/>
  <c r="J195" i="33"/>
  <c r="L195" i="33"/>
  <c r="F195" i="33"/>
  <c r="J194" i="33"/>
  <c r="L194" i="33"/>
  <c r="F194" i="33"/>
  <c r="L193" i="33"/>
  <c r="J193" i="33"/>
  <c r="F193" i="33"/>
  <c r="J192" i="33"/>
  <c r="L192" i="33"/>
  <c r="J191" i="33"/>
  <c r="L191" i="33"/>
  <c r="F191" i="33"/>
  <c r="L190" i="33"/>
  <c r="J190" i="33"/>
  <c r="F190" i="33"/>
  <c r="J189" i="33"/>
  <c r="L189" i="33"/>
  <c r="F189" i="33"/>
  <c r="J188" i="33"/>
  <c r="L188" i="33"/>
  <c r="L187" i="33"/>
  <c r="J187" i="33"/>
  <c r="F187" i="33"/>
  <c r="J186" i="33"/>
  <c r="L186" i="33"/>
  <c r="F186" i="33"/>
  <c r="J185" i="33"/>
  <c r="L185" i="33"/>
  <c r="F185" i="33"/>
  <c r="J184" i="33"/>
  <c r="L184" i="33"/>
  <c r="J183" i="33"/>
  <c r="L183" i="33"/>
  <c r="F183" i="33"/>
  <c r="J182" i="33"/>
  <c r="L182" i="33"/>
  <c r="F182" i="33"/>
  <c r="J181" i="33"/>
  <c r="L181" i="33"/>
  <c r="F181" i="33"/>
  <c r="L180" i="33"/>
  <c r="J180" i="33"/>
  <c r="J179" i="33"/>
  <c r="L179" i="33"/>
  <c r="F179" i="33"/>
  <c r="J178" i="33"/>
  <c r="L178" i="33"/>
  <c r="F178" i="33"/>
  <c r="L177" i="33"/>
  <c r="J177" i="33"/>
  <c r="F177" i="33"/>
  <c r="J176" i="33"/>
  <c r="L176" i="33"/>
  <c r="J175" i="33"/>
  <c r="L175" i="33"/>
  <c r="F175" i="33"/>
  <c r="L174" i="33"/>
  <c r="J174" i="33"/>
  <c r="F174" i="33"/>
  <c r="J173" i="33"/>
  <c r="L173" i="33"/>
  <c r="F173" i="33"/>
  <c r="J172" i="33"/>
  <c r="L172" i="33"/>
  <c r="L171" i="33"/>
  <c r="J171" i="33"/>
  <c r="F171" i="33"/>
  <c r="J170" i="33"/>
  <c r="L170" i="33"/>
  <c r="F170" i="33"/>
  <c r="J169" i="33"/>
  <c r="L169" i="33"/>
  <c r="F169" i="33"/>
  <c r="J168" i="33"/>
  <c r="L168" i="33"/>
  <c r="J167" i="33"/>
  <c r="L167" i="33"/>
  <c r="F167" i="33"/>
  <c r="J166" i="33"/>
  <c r="L166" i="33"/>
  <c r="F166" i="33"/>
  <c r="J165" i="33"/>
  <c r="L165" i="33"/>
  <c r="J164" i="33"/>
  <c r="L164" i="33"/>
  <c r="J163" i="33"/>
  <c r="L163" i="33"/>
  <c r="J162" i="33"/>
  <c r="L162" i="33"/>
  <c r="F162" i="33"/>
  <c r="J161" i="33"/>
  <c r="L161" i="33"/>
  <c r="F161" i="33"/>
  <c r="J160" i="33"/>
  <c r="L160" i="33"/>
  <c r="J159" i="33"/>
  <c r="L159" i="33"/>
  <c r="F159" i="33"/>
  <c r="J158" i="33"/>
  <c r="L158" i="33"/>
  <c r="F158" i="33"/>
  <c r="J157" i="33"/>
  <c r="L157" i="33"/>
  <c r="F157" i="33"/>
  <c r="L156" i="33"/>
  <c r="J156" i="33"/>
  <c r="J155" i="33"/>
  <c r="L155" i="33"/>
  <c r="F155" i="33"/>
  <c r="J154" i="33"/>
  <c r="L154" i="33"/>
  <c r="F154" i="33"/>
  <c r="L153" i="33"/>
  <c r="J153" i="33"/>
  <c r="F153" i="33"/>
  <c r="J152" i="33"/>
  <c r="L152" i="33"/>
  <c r="J151" i="33"/>
  <c r="L151" i="33"/>
  <c r="F151" i="33"/>
  <c r="L150" i="33"/>
  <c r="J150" i="33"/>
  <c r="F150" i="33"/>
  <c r="J149" i="33"/>
  <c r="L149" i="33"/>
  <c r="F149" i="33"/>
  <c r="J148" i="33"/>
  <c r="L148" i="33"/>
  <c r="L147" i="33"/>
  <c r="J147" i="33"/>
  <c r="F147" i="33"/>
  <c r="J146" i="33"/>
  <c r="L146" i="33"/>
  <c r="F146" i="33"/>
  <c r="J145" i="33"/>
  <c r="L145" i="33"/>
  <c r="F145" i="33"/>
  <c r="J144" i="33"/>
  <c r="L144" i="33"/>
  <c r="J143" i="33"/>
  <c r="L143" i="33"/>
  <c r="F143" i="33"/>
  <c r="J142" i="33"/>
  <c r="L142" i="33"/>
  <c r="F142" i="33"/>
  <c r="J141" i="33"/>
  <c r="L141" i="33"/>
  <c r="F141" i="33"/>
  <c r="L140" i="33"/>
  <c r="J140" i="33"/>
  <c r="F140" i="33"/>
  <c r="J139" i="33"/>
  <c r="L139" i="33"/>
  <c r="F139" i="33"/>
  <c r="J138" i="33"/>
  <c r="L138" i="33"/>
  <c r="F138" i="33"/>
  <c r="J137" i="33"/>
  <c r="L137" i="33"/>
  <c r="J136" i="33"/>
  <c r="L136" i="33"/>
  <c r="J135" i="33"/>
  <c r="L135" i="33"/>
  <c r="J134" i="33"/>
  <c r="L134" i="33"/>
  <c r="F134" i="33"/>
  <c r="J133" i="33"/>
  <c r="L133" i="33"/>
  <c r="F133" i="33"/>
  <c r="J132" i="33"/>
  <c r="L132" i="33"/>
  <c r="J131" i="33"/>
  <c r="L131" i="33"/>
  <c r="F131" i="33"/>
  <c r="J130" i="33"/>
  <c r="L130" i="33"/>
  <c r="F130" i="33"/>
  <c r="J129" i="33"/>
  <c r="L129" i="33"/>
  <c r="F129" i="33"/>
  <c r="L128" i="33"/>
  <c r="J128" i="33"/>
  <c r="F128" i="33"/>
  <c r="J127" i="33"/>
  <c r="L127" i="33"/>
  <c r="F127" i="33"/>
  <c r="J126" i="33"/>
  <c r="L126" i="33"/>
  <c r="F126" i="33"/>
  <c r="J125" i="33"/>
  <c r="L125" i="33"/>
  <c r="J124" i="33"/>
  <c r="L124" i="33"/>
  <c r="J123" i="33"/>
  <c r="L123" i="33"/>
  <c r="J122" i="33"/>
  <c r="L122" i="33"/>
  <c r="F122" i="33"/>
  <c r="J121" i="33"/>
  <c r="L121" i="33"/>
  <c r="F121" i="33"/>
  <c r="J120" i="33"/>
  <c r="L120" i="33"/>
  <c r="J119" i="33"/>
  <c r="L119" i="33"/>
  <c r="F119" i="33"/>
  <c r="J118" i="33"/>
  <c r="L118" i="33"/>
  <c r="F118" i="33"/>
  <c r="J117" i="33"/>
  <c r="L117" i="33"/>
  <c r="F117" i="33"/>
  <c r="L116" i="33"/>
  <c r="J116" i="33"/>
  <c r="F116" i="33"/>
  <c r="J115" i="33"/>
  <c r="L115" i="33"/>
  <c r="F115" i="33"/>
  <c r="J114" i="33"/>
  <c r="L114" i="33"/>
  <c r="F114" i="33"/>
  <c r="J113" i="33"/>
  <c r="L113" i="33"/>
  <c r="J112" i="33"/>
  <c r="L112" i="33"/>
  <c r="J111" i="33"/>
  <c r="L111" i="33"/>
  <c r="J110" i="33"/>
  <c r="L110" i="33"/>
  <c r="F110" i="33"/>
  <c r="J109" i="33"/>
  <c r="L109" i="33"/>
  <c r="F109" i="33"/>
  <c r="J108" i="33"/>
  <c r="L108" i="33"/>
  <c r="J107" i="33"/>
  <c r="L107" i="33"/>
  <c r="F107" i="33"/>
  <c r="J106" i="33"/>
  <c r="L106" i="33"/>
  <c r="F106" i="33"/>
  <c r="J105" i="33"/>
  <c r="L105" i="33"/>
  <c r="F105" i="33"/>
  <c r="L104" i="33"/>
  <c r="J104" i="33"/>
  <c r="F104" i="33"/>
  <c r="J103" i="33"/>
  <c r="L103" i="33"/>
  <c r="F103" i="33"/>
  <c r="J102" i="33"/>
  <c r="L102" i="33"/>
  <c r="F102" i="33"/>
  <c r="J101" i="33"/>
  <c r="L101" i="33"/>
  <c r="J100" i="33"/>
  <c r="L100" i="33"/>
  <c r="J99" i="33"/>
  <c r="L99" i="33"/>
  <c r="J98" i="33"/>
  <c r="L98" i="33"/>
  <c r="F98" i="33"/>
  <c r="J97" i="33"/>
  <c r="L97" i="33"/>
  <c r="F97" i="33"/>
  <c r="J96" i="33"/>
  <c r="L96" i="33"/>
  <c r="J95" i="33"/>
  <c r="L95" i="33"/>
  <c r="F95" i="33"/>
  <c r="J94" i="33"/>
  <c r="L94" i="33"/>
  <c r="F94" i="33"/>
  <c r="J93" i="33"/>
  <c r="L93" i="33"/>
  <c r="F93" i="33"/>
  <c r="L92" i="33"/>
  <c r="J92" i="33"/>
  <c r="F92" i="33"/>
  <c r="J91" i="33"/>
  <c r="L91" i="33"/>
  <c r="F91" i="33"/>
  <c r="J90" i="33"/>
  <c r="L90" i="33"/>
  <c r="F90" i="33"/>
  <c r="J89" i="33"/>
  <c r="L89" i="33"/>
  <c r="J88" i="33"/>
  <c r="L88" i="33"/>
  <c r="J87" i="33"/>
  <c r="L87" i="33"/>
  <c r="J86" i="33"/>
  <c r="L86" i="33"/>
  <c r="F86" i="33"/>
  <c r="J85" i="33"/>
  <c r="L85" i="33"/>
  <c r="F85" i="33"/>
  <c r="J84" i="33"/>
  <c r="L84" i="33"/>
  <c r="J83" i="33"/>
  <c r="L83" i="33"/>
  <c r="F83" i="33"/>
  <c r="J82" i="33"/>
  <c r="L82" i="33"/>
  <c r="F82" i="33"/>
  <c r="J81" i="33"/>
  <c r="L81" i="33"/>
  <c r="F81" i="33"/>
  <c r="L80" i="33"/>
  <c r="J80" i="33"/>
  <c r="F80" i="33"/>
  <c r="J79" i="33"/>
  <c r="L79" i="33"/>
  <c r="F79" i="33"/>
  <c r="J78" i="33"/>
  <c r="L78" i="33"/>
  <c r="F78" i="33"/>
  <c r="J77" i="33"/>
  <c r="L77" i="33"/>
  <c r="J76" i="33"/>
  <c r="L76" i="33"/>
  <c r="J75" i="33"/>
  <c r="L75" i="33"/>
  <c r="J74" i="33"/>
  <c r="L74" i="33"/>
  <c r="F74" i="33"/>
  <c r="L73" i="33"/>
  <c r="J73" i="33"/>
  <c r="F73" i="33"/>
  <c r="J72" i="33"/>
  <c r="L72" i="33"/>
  <c r="J71" i="33"/>
  <c r="L71" i="33"/>
  <c r="F71" i="33"/>
  <c r="L70" i="33"/>
  <c r="J70" i="33"/>
  <c r="F70" i="33"/>
  <c r="J69" i="33"/>
  <c r="L69" i="33"/>
  <c r="F69" i="33"/>
  <c r="L68" i="33"/>
  <c r="J68" i="33"/>
  <c r="F68" i="33"/>
  <c r="J67" i="33"/>
  <c r="L67" i="33"/>
  <c r="F67" i="33"/>
  <c r="L66" i="33"/>
  <c r="J66" i="33"/>
  <c r="F66" i="33"/>
  <c r="J65" i="33"/>
  <c r="L65" i="33"/>
  <c r="J64" i="33"/>
  <c r="L64" i="33"/>
  <c r="J63" i="33"/>
  <c r="L63" i="33"/>
  <c r="J62" i="33"/>
  <c r="L62" i="33"/>
  <c r="F62" i="33"/>
  <c r="L61" i="33"/>
  <c r="J61" i="33"/>
  <c r="F61" i="33"/>
  <c r="J60" i="33"/>
  <c r="L60" i="33"/>
  <c r="J59" i="33"/>
  <c r="L59" i="33"/>
  <c r="F59" i="33"/>
  <c r="J58" i="33"/>
  <c r="L58" i="33"/>
  <c r="F58" i="33"/>
  <c r="J57" i="33"/>
  <c r="L57" i="33"/>
  <c r="F57" i="33"/>
  <c r="J56" i="33"/>
  <c r="L56" i="33"/>
  <c r="F56" i="33"/>
  <c r="J55" i="33"/>
  <c r="L55" i="33"/>
  <c r="F55" i="33"/>
  <c r="L54" i="33"/>
  <c r="J54" i="33"/>
  <c r="F54" i="33"/>
  <c r="J53" i="33"/>
  <c r="L53" i="33"/>
  <c r="J52" i="33"/>
  <c r="L52" i="33"/>
  <c r="J51" i="33"/>
  <c r="L51" i="33"/>
  <c r="J50" i="33"/>
  <c r="L50" i="33"/>
  <c r="F50" i="33"/>
  <c r="L49" i="33"/>
  <c r="J49" i="33"/>
  <c r="F49" i="33"/>
  <c r="J48" i="33"/>
  <c r="L48" i="33"/>
  <c r="J47" i="33"/>
  <c r="L47" i="33"/>
  <c r="F47" i="33"/>
  <c r="L46" i="33"/>
  <c r="J46" i="33"/>
  <c r="F46" i="33"/>
  <c r="J45" i="33"/>
  <c r="L45" i="33"/>
  <c r="F45" i="33"/>
  <c r="J44" i="33"/>
  <c r="L44" i="33"/>
  <c r="F44" i="33"/>
  <c r="J43" i="33"/>
  <c r="L43" i="33"/>
  <c r="F43" i="33"/>
  <c r="L42" i="33"/>
  <c r="J42" i="33"/>
  <c r="F42" i="33"/>
  <c r="J41" i="33"/>
  <c r="L41" i="33"/>
  <c r="J40" i="33"/>
  <c r="L40" i="33"/>
  <c r="J39" i="33"/>
  <c r="L39" i="33"/>
  <c r="J38" i="33"/>
  <c r="L38" i="33"/>
  <c r="F38" i="33"/>
  <c r="L37" i="33"/>
  <c r="J37" i="33"/>
  <c r="F37" i="33"/>
  <c r="J36" i="33"/>
  <c r="L36" i="33"/>
  <c r="J33" i="33"/>
  <c r="L33" i="33"/>
  <c r="F33" i="33"/>
  <c r="L32" i="33"/>
  <c r="J32" i="33"/>
  <c r="F32" i="33"/>
  <c r="J31" i="33"/>
  <c r="L31" i="33"/>
  <c r="F31" i="33"/>
  <c r="J30" i="33"/>
  <c r="L30" i="33"/>
  <c r="F30" i="33"/>
  <c r="J29" i="33"/>
  <c r="L29" i="33"/>
  <c r="J28" i="33"/>
  <c r="L28" i="33"/>
  <c r="J27" i="33"/>
  <c r="L27" i="33"/>
  <c r="J26" i="33"/>
  <c r="L26" i="33"/>
  <c r="F26" i="33"/>
  <c r="J25" i="33"/>
  <c r="L25" i="33"/>
  <c r="F25" i="33"/>
  <c r="J24" i="33"/>
  <c r="L24" i="33"/>
  <c r="J23" i="33"/>
  <c r="L23" i="33"/>
  <c r="J22" i="33"/>
  <c r="L22" i="33"/>
  <c r="F22" i="33"/>
  <c r="L21" i="33"/>
  <c r="J21" i="33"/>
  <c r="F21" i="33"/>
  <c r="J20" i="33"/>
  <c r="L20" i="33"/>
  <c r="F20" i="33"/>
  <c r="J19" i="33"/>
  <c r="L19" i="33"/>
  <c r="L18" i="33"/>
  <c r="J18" i="33"/>
  <c r="J17" i="33"/>
  <c r="L17" i="33"/>
  <c r="L16" i="33"/>
  <c r="J16" i="33"/>
  <c r="F16" i="33"/>
  <c r="J15" i="33"/>
  <c r="L15" i="33"/>
  <c r="J14" i="33"/>
  <c r="L14" i="33"/>
  <c r="F14" i="33"/>
  <c r="L13" i="33"/>
  <c r="J13" i="33"/>
  <c r="F13" i="33"/>
  <c r="J12" i="33"/>
  <c r="L12" i="33"/>
  <c r="F12" i="33"/>
  <c r="J11" i="33"/>
  <c r="L11" i="33"/>
  <c r="F11" i="33"/>
  <c r="J10" i="33"/>
  <c r="L10" i="33"/>
  <c r="F10" i="33"/>
  <c r="L9" i="33"/>
  <c r="J9" i="33"/>
  <c r="F9" i="33"/>
  <c r="J8" i="33"/>
  <c r="L8" i="33"/>
  <c r="L7" i="33"/>
  <c r="J7" i="33"/>
  <c r="J6" i="33"/>
  <c r="L6" i="33"/>
  <c r="L5" i="33"/>
  <c r="J5" i="33"/>
  <c r="F5" i="33"/>
  <c r="L4" i="33"/>
  <c r="J4" i="33"/>
  <c r="F4" i="33"/>
  <c r="J3" i="33"/>
  <c r="L3" i="33"/>
  <c r="L169" i="29"/>
  <c r="J168" i="29"/>
  <c r="L168" i="29"/>
  <c r="F168" i="29"/>
  <c r="J167" i="29"/>
  <c r="L167" i="29"/>
  <c r="L166" i="29"/>
  <c r="J165" i="29"/>
  <c r="L165" i="29"/>
  <c r="F165" i="29"/>
  <c r="J164" i="29"/>
  <c r="L164" i="29"/>
  <c r="L163" i="29"/>
  <c r="J162" i="29"/>
  <c r="L162" i="29"/>
  <c r="F162" i="29"/>
  <c r="J161" i="29"/>
  <c r="L161" i="29"/>
  <c r="J160" i="29"/>
  <c r="L160" i="29"/>
  <c r="J159" i="29"/>
  <c r="L159" i="29"/>
  <c r="F159" i="29"/>
  <c r="J158" i="29"/>
  <c r="L158" i="29"/>
  <c r="J157" i="29"/>
  <c r="L157" i="29"/>
  <c r="J156" i="29"/>
  <c r="L156" i="29"/>
  <c r="F156" i="29"/>
  <c r="J155" i="29"/>
  <c r="L155" i="29"/>
  <c r="J154" i="29"/>
  <c r="L154" i="29"/>
  <c r="F154" i="29"/>
  <c r="J153" i="29"/>
  <c r="L153" i="29"/>
  <c r="F153" i="29"/>
  <c r="J152" i="29"/>
  <c r="L152" i="29"/>
  <c r="F152" i="29"/>
  <c r="J151" i="29"/>
  <c r="L151" i="29"/>
  <c r="J150" i="29"/>
  <c r="L150" i="29"/>
  <c r="F150" i="29"/>
  <c r="J149" i="29"/>
  <c r="L149" i="29"/>
  <c r="F149" i="29"/>
  <c r="J148" i="29"/>
  <c r="L148" i="29"/>
  <c r="F148" i="29"/>
  <c r="J147" i="29"/>
  <c r="L147" i="29"/>
  <c r="F147" i="29"/>
  <c r="J146" i="29"/>
  <c r="L146" i="29"/>
  <c r="F146" i="29"/>
  <c r="J145" i="29"/>
  <c r="L145" i="29"/>
  <c r="F145" i="29"/>
  <c r="J144" i="29"/>
  <c r="L144" i="29"/>
  <c r="J143" i="29"/>
  <c r="L143" i="29"/>
  <c r="J142" i="29"/>
  <c r="L142" i="29"/>
  <c r="J141" i="29"/>
  <c r="L141" i="29"/>
  <c r="F141" i="29"/>
  <c r="J140" i="29"/>
  <c r="L140" i="29"/>
  <c r="F140" i="29"/>
  <c r="J139" i="29"/>
  <c r="L139" i="29"/>
  <c r="J138" i="29"/>
  <c r="L138" i="29"/>
  <c r="F138" i="29"/>
  <c r="J137" i="29"/>
  <c r="L137" i="29"/>
  <c r="F137" i="29"/>
  <c r="J136" i="29"/>
  <c r="L136" i="29"/>
  <c r="F136" i="29"/>
  <c r="J135" i="29"/>
  <c r="L135" i="29"/>
  <c r="F135" i="29"/>
  <c r="J134" i="29"/>
  <c r="L134" i="29"/>
  <c r="J132" i="29"/>
  <c r="L132" i="29"/>
  <c r="F132" i="29"/>
  <c r="J131" i="29"/>
  <c r="L131" i="29"/>
  <c r="F131" i="29"/>
  <c r="J130" i="29"/>
  <c r="L130" i="29"/>
  <c r="F130" i="29"/>
  <c r="J129" i="29"/>
  <c r="L129" i="29"/>
  <c r="F129" i="29"/>
  <c r="J128" i="29"/>
  <c r="L128" i="29"/>
  <c r="F128" i="29"/>
  <c r="J127" i="29"/>
  <c r="L127" i="29"/>
  <c r="J126" i="29"/>
  <c r="L126" i="29"/>
  <c r="J125" i="29"/>
  <c r="L125" i="29"/>
  <c r="J124" i="29"/>
  <c r="L124" i="29"/>
  <c r="F124" i="29"/>
  <c r="J123" i="29"/>
  <c r="L123" i="29"/>
  <c r="F123" i="29"/>
  <c r="J122" i="29"/>
  <c r="L122" i="29"/>
  <c r="J120" i="29"/>
  <c r="L120" i="29"/>
  <c r="F120" i="29"/>
  <c r="J119" i="29"/>
  <c r="L119" i="29"/>
  <c r="F119" i="29"/>
  <c r="J118" i="29"/>
  <c r="L118" i="29"/>
  <c r="F118" i="29"/>
  <c r="J117" i="29"/>
  <c r="L117" i="29"/>
  <c r="F117" i="29"/>
  <c r="J116" i="29"/>
  <c r="L116" i="29"/>
  <c r="F116" i="29"/>
  <c r="J115" i="29"/>
  <c r="L115" i="29"/>
  <c r="J114" i="29"/>
  <c r="L114" i="29"/>
  <c r="J113" i="29"/>
  <c r="L113" i="29"/>
  <c r="J112" i="29"/>
  <c r="L112" i="29"/>
  <c r="F112" i="29"/>
  <c r="J111" i="29"/>
  <c r="L111" i="29"/>
  <c r="F111" i="29"/>
  <c r="J110" i="29"/>
  <c r="L110" i="29"/>
  <c r="F97" i="29"/>
  <c r="J97" i="29"/>
  <c r="L97" i="29"/>
  <c r="J96" i="29"/>
  <c r="L96" i="29"/>
  <c r="F96" i="29"/>
  <c r="J95" i="29"/>
  <c r="L95" i="29"/>
  <c r="F95" i="29"/>
  <c r="J94" i="29"/>
  <c r="L94" i="29"/>
  <c r="F94" i="29"/>
  <c r="J93" i="29"/>
  <c r="L93" i="29"/>
  <c r="F93" i="29"/>
  <c r="J92" i="29"/>
  <c r="L92" i="29"/>
  <c r="F92" i="29"/>
  <c r="J91" i="29"/>
  <c r="L91" i="29"/>
  <c r="J90" i="29"/>
  <c r="L90" i="29"/>
  <c r="J89" i="29"/>
  <c r="L89" i="29"/>
  <c r="J88" i="29"/>
  <c r="L88" i="29"/>
  <c r="F88" i="29"/>
  <c r="J87" i="29"/>
  <c r="L87" i="29"/>
  <c r="F87" i="29"/>
  <c r="J86" i="29"/>
  <c r="L86" i="29"/>
  <c r="J85" i="29"/>
  <c r="L85" i="29"/>
  <c r="J84" i="29"/>
  <c r="L84" i="29"/>
  <c r="F84" i="29"/>
  <c r="J83" i="29"/>
  <c r="L83" i="29"/>
  <c r="F83" i="29"/>
  <c r="J82" i="29"/>
  <c r="L82" i="29"/>
  <c r="F82" i="29"/>
  <c r="J81" i="29"/>
  <c r="L81" i="29"/>
  <c r="J80" i="29"/>
  <c r="L80" i="29"/>
  <c r="J79" i="29"/>
  <c r="L79" i="29"/>
  <c r="J78" i="29"/>
  <c r="L78" i="29"/>
  <c r="F78" i="29"/>
  <c r="J77" i="29"/>
  <c r="L77" i="29"/>
  <c r="J76" i="29"/>
  <c r="L76" i="29"/>
  <c r="J75" i="29"/>
  <c r="L75" i="29"/>
  <c r="F75" i="29"/>
  <c r="J74" i="29"/>
  <c r="L74" i="29"/>
  <c r="F74" i="29"/>
  <c r="J73" i="29"/>
  <c r="L73" i="29"/>
  <c r="F73" i="29"/>
  <c r="J72" i="29"/>
  <c r="L72" i="29"/>
  <c r="J71" i="29"/>
  <c r="L71" i="29"/>
  <c r="J70" i="29"/>
  <c r="L70" i="29"/>
  <c r="J69" i="29"/>
  <c r="L69" i="29"/>
  <c r="F69" i="29"/>
  <c r="J68" i="29"/>
  <c r="L68" i="29"/>
  <c r="J223" i="32"/>
  <c r="L223" i="32"/>
  <c r="F223" i="32"/>
  <c r="L222" i="32"/>
  <c r="J222" i="32"/>
  <c r="F222" i="32"/>
  <c r="J221" i="32"/>
  <c r="L221" i="32"/>
  <c r="F221" i="32"/>
  <c r="L220" i="32"/>
  <c r="J220" i="32"/>
  <c r="L219" i="32"/>
  <c r="J219" i="32"/>
  <c r="F219" i="32"/>
  <c r="J218" i="32"/>
  <c r="L218" i="32"/>
  <c r="F218" i="32"/>
  <c r="L217" i="32"/>
  <c r="J217" i="32"/>
  <c r="L216" i="32"/>
  <c r="J216" i="32"/>
  <c r="F216" i="32"/>
  <c r="J215" i="32"/>
  <c r="L215" i="32"/>
  <c r="F215" i="32"/>
  <c r="L214" i="32"/>
  <c r="J214" i="32"/>
  <c r="F214" i="32"/>
  <c r="J213" i="32"/>
  <c r="L213" i="32"/>
  <c r="J212" i="32"/>
  <c r="L212" i="32"/>
  <c r="F212" i="32"/>
  <c r="L211" i="32"/>
  <c r="J211" i="32"/>
  <c r="F211" i="32"/>
  <c r="J210" i="32"/>
  <c r="L210" i="32"/>
  <c r="F210" i="32"/>
  <c r="L209" i="32"/>
  <c r="J209" i="32"/>
  <c r="L208" i="32"/>
  <c r="J208" i="32"/>
  <c r="F208" i="32"/>
  <c r="J207" i="32"/>
  <c r="L207" i="32"/>
  <c r="F207" i="32"/>
  <c r="L206" i="32"/>
  <c r="J206" i="32"/>
  <c r="F206" i="32"/>
  <c r="J205" i="32"/>
  <c r="L205" i="32"/>
  <c r="J204" i="32"/>
  <c r="L204" i="32"/>
  <c r="F204" i="32"/>
  <c r="L203" i="32"/>
  <c r="J203" i="32"/>
  <c r="F203" i="32"/>
  <c r="J202" i="32"/>
  <c r="L202" i="32"/>
  <c r="F202" i="32"/>
  <c r="L201" i="32"/>
  <c r="J201" i="32"/>
  <c r="L200" i="32"/>
  <c r="J200" i="32"/>
  <c r="F200" i="32"/>
  <c r="J199" i="32"/>
  <c r="L199" i="32"/>
  <c r="F199" i="32"/>
  <c r="L198" i="32"/>
  <c r="J198" i="32"/>
  <c r="F198" i="32"/>
  <c r="J197" i="32"/>
  <c r="L197" i="32"/>
  <c r="J196" i="32"/>
  <c r="L196" i="32"/>
  <c r="F196" i="32"/>
  <c r="L195" i="32"/>
  <c r="J195" i="32"/>
  <c r="F195" i="32"/>
  <c r="J194" i="32"/>
  <c r="L194" i="32"/>
  <c r="F194" i="32"/>
  <c r="L193" i="32"/>
  <c r="J193" i="32"/>
  <c r="L192" i="32"/>
  <c r="J192" i="32"/>
  <c r="F192" i="32"/>
  <c r="J191" i="32"/>
  <c r="L191" i="32"/>
  <c r="F191" i="32"/>
  <c r="L190" i="32"/>
  <c r="J190" i="32"/>
  <c r="F190" i="32"/>
  <c r="J189" i="32"/>
  <c r="L189" i="32"/>
  <c r="J188" i="32"/>
  <c r="L188" i="32"/>
  <c r="F188" i="32"/>
  <c r="L187" i="32"/>
  <c r="J187" i="32"/>
  <c r="F187" i="32"/>
  <c r="J186" i="32"/>
  <c r="L186" i="32"/>
  <c r="F186" i="32"/>
  <c r="L185" i="32"/>
  <c r="J185" i="32"/>
  <c r="L184" i="32"/>
  <c r="J184" i="32"/>
  <c r="F184" i="32"/>
  <c r="J183" i="32"/>
  <c r="L183" i="32"/>
  <c r="F183" i="32"/>
  <c r="L182" i="32"/>
  <c r="J182" i="32"/>
  <c r="F182" i="32"/>
  <c r="J181" i="32"/>
  <c r="L181" i="32"/>
  <c r="J180" i="32"/>
  <c r="L180" i="32"/>
  <c r="F180" i="32"/>
  <c r="L179" i="32"/>
  <c r="J179" i="32"/>
  <c r="F179" i="32"/>
  <c r="J178" i="32"/>
  <c r="L178" i="32"/>
  <c r="F178" i="32"/>
  <c r="L177" i="32"/>
  <c r="J177" i="32"/>
  <c r="L176" i="32"/>
  <c r="J176" i="32"/>
  <c r="F176" i="32"/>
  <c r="J175" i="32"/>
  <c r="L175" i="32"/>
  <c r="F175" i="32"/>
  <c r="L174" i="32"/>
  <c r="J174" i="32"/>
  <c r="F174" i="32"/>
  <c r="J173" i="32"/>
  <c r="L173" i="32"/>
  <c r="J172" i="32"/>
  <c r="L172" i="32"/>
  <c r="F172" i="32"/>
  <c r="L171" i="32"/>
  <c r="J171" i="32"/>
  <c r="F171" i="32"/>
  <c r="J170" i="32"/>
  <c r="L170" i="32"/>
  <c r="F170" i="32"/>
  <c r="L169" i="32"/>
  <c r="J169" i="32"/>
  <c r="L168" i="32"/>
  <c r="J168" i="32"/>
  <c r="F168" i="32"/>
  <c r="J167" i="32"/>
  <c r="L167" i="32"/>
  <c r="F167" i="32"/>
  <c r="L166" i="32"/>
  <c r="J166" i="32"/>
  <c r="F166" i="32"/>
  <c r="J165" i="32"/>
  <c r="L165" i="32"/>
  <c r="J164" i="32"/>
  <c r="L164" i="32"/>
  <c r="F164" i="32"/>
  <c r="L163" i="32"/>
  <c r="J163" i="32"/>
  <c r="F163" i="32"/>
  <c r="J162" i="32"/>
  <c r="L162" i="32"/>
  <c r="F162" i="32"/>
  <c r="L161" i="32"/>
  <c r="J161" i="32"/>
  <c r="L160" i="32"/>
  <c r="J160" i="32"/>
  <c r="F160" i="32"/>
  <c r="J159" i="32"/>
  <c r="L159" i="32"/>
  <c r="F159" i="32"/>
  <c r="L158" i="32"/>
  <c r="J158" i="32"/>
  <c r="F158" i="32"/>
  <c r="J157" i="32"/>
  <c r="L157" i="32"/>
  <c r="J156" i="32"/>
  <c r="L156" i="32"/>
  <c r="F156" i="32"/>
  <c r="L155" i="32"/>
  <c r="J155" i="32"/>
  <c r="F155" i="32"/>
  <c r="J154" i="32"/>
  <c r="L154" i="32"/>
  <c r="J153" i="32"/>
  <c r="L153" i="32"/>
  <c r="J152" i="32"/>
  <c r="L152" i="32"/>
  <c r="J151" i="32"/>
  <c r="L151" i="32"/>
  <c r="F151" i="32"/>
  <c r="L150" i="32"/>
  <c r="J150" i="32"/>
  <c r="F150" i="32"/>
  <c r="J149" i="32"/>
  <c r="L149" i="32"/>
  <c r="J148" i="32"/>
  <c r="L148" i="32"/>
  <c r="F148" i="32"/>
  <c r="L147" i="32"/>
  <c r="J147" i="32"/>
  <c r="F147" i="32"/>
  <c r="J146" i="32"/>
  <c r="L146" i="32"/>
  <c r="F146" i="32"/>
  <c r="L145" i="32"/>
  <c r="J145" i="32"/>
  <c r="L144" i="32"/>
  <c r="J144" i="32"/>
  <c r="F144" i="32"/>
  <c r="J143" i="32"/>
  <c r="L143" i="32"/>
  <c r="F143" i="32"/>
  <c r="L142" i="32"/>
  <c r="J142" i="32"/>
  <c r="F142" i="32"/>
  <c r="J141" i="32"/>
  <c r="L141" i="32"/>
  <c r="J140" i="32"/>
  <c r="L140" i="32"/>
  <c r="F140" i="32"/>
  <c r="L139" i="32"/>
  <c r="J139" i="32"/>
  <c r="F139" i="32"/>
  <c r="J138" i="32"/>
  <c r="L138" i="32"/>
  <c r="F138" i="32"/>
  <c r="L137" i="32"/>
  <c r="J137" i="32"/>
  <c r="L136" i="32"/>
  <c r="J136" i="32"/>
  <c r="F136" i="32"/>
  <c r="J135" i="32"/>
  <c r="L135" i="32"/>
  <c r="F135" i="32"/>
  <c r="L134" i="32"/>
  <c r="J134" i="32"/>
  <c r="F134" i="32"/>
  <c r="J133" i="32"/>
  <c r="L133" i="32"/>
  <c r="J132" i="32"/>
  <c r="L132" i="32"/>
  <c r="F132" i="32"/>
  <c r="L131" i="32"/>
  <c r="J131" i="32"/>
  <c r="F131" i="32"/>
  <c r="J130" i="32"/>
  <c r="L130" i="32"/>
  <c r="F130" i="32"/>
  <c r="L129" i="32"/>
  <c r="J129" i="32"/>
  <c r="F129" i="32"/>
  <c r="J128" i="32"/>
  <c r="L128" i="32"/>
  <c r="F128" i="32"/>
  <c r="L127" i="32"/>
  <c r="J127" i="32"/>
  <c r="F127" i="32"/>
  <c r="J126" i="32"/>
  <c r="L126" i="32"/>
  <c r="J125" i="32"/>
  <c r="L125" i="32"/>
  <c r="J124" i="32"/>
  <c r="L124" i="32"/>
  <c r="J123" i="32"/>
  <c r="L123" i="32"/>
  <c r="F123" i="32"/>
  <c r="L122" i="32"/>
  <c r="J122" i="32"/>
  <c r="F122" i="32"/>
  <c r="J121" i="32"/>
  <c r="L121" i="32"/>
  <c r="J120" i="32"/>
  <c r="L120" i="32"/>
  <c r="F120" i="32"/>
  <c r="L119" i="32"/>
  <c r="J119" i="32"/>
  <c r="F119" i="32"/>
  <c r="J118" i="32"/>
  <c r="L118" i="32"/>
  <c r="F118" i="32"/>
  <c r="L117" i="32"/>
  <c r="J117" i="32"/>
  <c r="F117" i="32"/>
  <c r="J116" i="32"/>
  <c r="L116" i="32"/>
  <c r="F116" i="32"/>
  <c r="L115" i="32"/>
  <c r="J115" i="32"/>
  <c r="F115" i="32"/>
  <c r="J114" i="32"/>
  <c r="L114" i="32"/>
  <c r="J113" i="32"/>
  <c r="L113" i="32"/>
  <c r="J112" i="32"/>
  <c r="L112" i="32"/>
  <c r="J111" i="32"/>
  <c r="L111" i="32"/>
  <c r="F111" i="32"/>
  <c r="L110" i="32"/>
  <c r="J110" i="32"/>
  <c r="F110" i="32"/>
  <c r="J109" i="32"/>
  <c r="L109" i="32"/>
  <c r="J108" i="32"/>
  <c r="L108" i="32"/>
  <c r="F108" i="32"/>
  <c r="L107" i="32"/>
  <c r="J107" i="32"/>
  <c r="F107" i="32"/>
  <c r="J106" i="32"/>
  <c r="L106" i="32"/>
  <c r="F106" i="32"/>
  <c r="L105" i="32"/>
  <c r="J105" i="32"/>
  <c r="F105" i="32"/>
  <c r="J104" i="32"/>
  <c r="L104" i="32"/>
  <c r="F104" i="32"/>
  <c r="L103" i="32"/>
  <c r="J103" i="32"/>
  <c r="F103" i="32"/>
  <c r="J102" i="32"/>
  <c r="L102" i="32"/>
  <c r="J101" i="32"/>
  <c r="L101" i="32"/>
  <c r="J100" i="32"/>
  <c r="L100" i="32"/>
  <c r="J99" i="32"/>
  <c r="L99" i="32"/>
  <c r="F99" i="32"/>
  <c r="L98" i="32"/>
  <c r="J98" i="32"/>
  <c r="F98" i="32"/>
  <c r="J97" i="32"/>
  <c r="L97" i="32"/>
  <c r="J96" i="32"/>
  <c r="L96" i="32"/>
  <c r="F96" i="32"/>
  <c r="L95" i="32"/>
  <c r="J95" i="32"/>
  <c r="F95" i="32"/>
  <c r="J94" i="32"/>
  <c r="L94" i="32"/>
  <c r="F94" i="32"/>
  <c r="L93" i="32"/>
  <c r="J93" i="32"/>
  <c r="F93" i="32"/>
  <c r="J92" i="32"/>
  <c r="L92" i="32"/>
  <c r="F92" i="32"/>
  <c r="L91" i="32"/>
  <c r="J91" i="32"/>
  <c r="F91" i="32"/>
  <c r="J90" i="32"/>
  <c r="L90" i="32"/>
  <c r="J89" i="32"/>
  <c r="L89" i="32"/>
  <c r="J88" i="32"/>
  <c r="L88" i="32"/>
  <c r="J87" i="32"/>
  <c r="L87" i="32"/>
  <c r="F87" i="32"/>
  <c r="L86" i="32"/>
  <c r="J86" i="32"/>
  <c r="F86" i="32"/>
  <c r="J85" i="32"/>
  <c r="L85" i="32"/>
  <c r="J84" i="32"/>
  <c r="L84" i="32"/>
  <c r="F84" i="32"/>
  <c r="L83" i="32"/>
  <c r="J83" i="32"/>
  <c r="F83" i="32"/>
  <c r="J82" i="32"/>
  <c r="L82" i="32"/>
  <c r="F82" i="32"/>
  <c r="L81" i="32"/>
  <c r="J81" i="32"/>
  <c r="F81" i="32"/>
  <c r="J80" i="32"/>
  <c r="L80" i="32"/>
  <c r="F80" i="32"/>
  <c r="L79" i="32"/>
  <c r="J79" i="32"/>
  <c r="F79" i="32"/>
  <c r="J78" i="32"/>
  <c r="L78" i="32"/>
  <c r="J77" i="32"/>
  <c r="L77" i="32"/>
  <c r="J76" i="32"/>
  <c r="L76" i="32"/>
  <c r="J75" i="32"/>
  <c r="L75" i="32"/>
  <c r="F75" i="32"/>
  <c r="L74" i="32"/>
  <c r="J74" i="32"/>
  <c r="F74" i="32"/>
  <c r="J73" i="32"/>
  <c r="L73" i="32"/>
  <c r="J72" i="32"/>
  <c r="L72" i="32"/>
  <c r="F72" i="32"/>
  <c r="L71" i="32"/>
  <c r="J71" i="32"/>
  <c r="F71" i="32"/>
  <c r="J70" i="32"/>
  <c r="L70" i="32"/>
  <c r="F70" i="32"/>
  <c r="L69" i="32"/>
  <c r="J69" i="32"/>
  <c r="F69" i="32"/>
  <c r="J68" i="32"/>
  <c r="L68" i="32"/>
  <c r="F68" i="32"/>
  <c r="L67" i="32"/>
  <c r="J67" i="32"/>
  <c r="F67" i="32"/>
  <c r="J66" i="32"/>
  <c r="L66" i="32"/>
  <c r="J65" i="32"/>
  <c r="L65" i="32"/>
  <c r="J64" i="32"/>
  <c r="L64" i="32"/>
  <c r="J63" i="32"/>
  <c r="L63" i="32"/>
  <c r="F63" i="32"/>
  <c r="L62" i="32"/>
  <c r="J62" i="32"/>
  <c r="F62" i="32"/>
  <c r="J61" i="32"/>
  <c r="L61" i="32"/>
  <c r="J60" i="32"/>
  <c r="L60" i="32"/>
  <c r="F60" i="32"/>
  <c r="L59" i="32"/>
  <c r="J59" i="32"/>
  <c r="F59" i="32"/>
  <c r="J58" i="32"/>
  <c r="L58" i="32"/>
  <c r="F58" i="32"/>
  <c r="L57" i="32"/>
  <c r="J57" i="32"/>
  <c r="F57" i="32"/>
  <c r="J56" i="32"/>
  <c r="L56" i="32"/>
  <c r="F56" i="32"/>
  <c r="L55" i="32"/>
  <c r="J55" i="32"/>
  <c r="F55" i="32"/>
  <c r="J54" i="32"/>
  <c r="L54" i="32"/>
  <c r="J53" i="32"/>
  <c r="L53" i="32"/>
  <c r="J52" i="32"/>
  <c r="L52" i="32"/>
  <c r="J51" i="32"/>
  <c r="L51" i="32"/>
  <c r="F51" i="32"/>
  <c r="L50" i="32"/>
  <c r="J50" i="32"/>
  <c r="F50" i="32"/>
  <c r="J49" i="32"/>
  <c r="L49" i="32"/>
  <c r="J48" i="32"/>
  <c r="L48" i="32"/>
  <c r="F48" i="32"/>
  <c r="L47" i="32"/>
  <c r="J47" i="32"/>
  <c r="F47" i="32"/>
  <c r="J46" i="32"/>
  <c r="L46" i="32"/>
  <c r="F46" i="32"/>
  <c r="L45" i="32"/>
  <c r="J45" i="32"/>
  <c r="F45" i="32"/>
  <c r="J44" i="32"/>
  <c r="L44" i="32"/>
  <c r="F44" i="32"/>
  <c r="L43" i="32"/>
  <c r="J43" i="32"/>
  <c r="F43" i="32"/>
  <c r="J42" i="32"/>
  <c r="L42" i="32"/>
  <c r="J41" i="32"/>
  <c r="L41" i="32"/>
  <c r="J40" i="32"/>
  <c r="L40" i="32"/>
  <c r="J39" i="32"/>
  <c r="L39" i="32"/>
  <c r="F39" i="32"/>
  <c r="L38" i="32"/>
  <c r="J38" i="32"/>
  <c r="F38" i="32"/>
  <c r="J37" i="32"/>
  <c r="L37" i="32"/>
  <c r="J34" i="32"/>
  <c r="L34" i="32"/>
  <c r="F34" i="32"/>
  <c r="L33" i="32"/>
  <c r="J33" i="32"/>
  <c r="F33" i="32"/>
  <c r="J32" i="32"/>
  <c r="L32" i="32"/>
  <c r="F32" i="32"/>
  <c r="L31" i="32"/>
  <c r="J31" i="32"/>
  <c r="F31" i="32"/>
  <c r="J30" i="32"/>
  <c r="L30" i="32"/>
  <c r="J29" i="32"/>
  <c r="L29" i="32"/>
  <c r="J28" i="32"/>
  <c r="L28" i="32"/>
  <c r="J27" i="32"/>
  <c r="L27" i="32"/>
  <c r="F27" i="32"/>
  <c r="L26" i="32"/>
  <c r="J26" i="32"/>
  <c r="F26" i="32"/>
  <c r="J25" i="32"/>
  <c r="L25" i="32"/>
  <c r="J24" i="32"/>
  <c r="L24" i="32"/>
  <c r="J23" i="32"/>
  <c r="L23" i="32"/>
  <c r="F23" i="32"/>
  <c r="L22" i="32"/>
  <c r="J22" i="32"/>
  <c r="F22" i="32"/>
  <c r="J21" i="32"/>
  <c r="L21" i="32"/>
  <c r="F21" i="32"/>
  <c r="L20" i="32"/>
  <c r="J20" i="32"/>
  <c r="F20" i="32"/>
  <c r="J19" i="32"/>
  <c r="L19" i="32"/>
  <c r="J18" i="32"/>
  <c r="L18" i="32"/>
  <c r="J17" i="32"/>
  <c r="L17" i="32"/>
  <c r="J16" i="32"/>
  <c r="L16" i="32"/>
  <c r="F16" i="32"/>
  <c r="L15" i="32"/>
  <c r="J15" i="32"/>
  <c r="L14" i="32"/>
  <c r="J14" i="32"/>
  <c r="F14" i="32"/>
  <c r="J13" i="32"/>
  <c r="L13" i="32"/>
  <c r="F13" i="32"/>
  <c r="L12" i="32"/>
  <c r="J12" i="32"/>
  <c r="F12" i="32"/>
  <c r="J11" i="32"/>
  <c r="L11" i="32"/>
  <c r="F11" i="32"/>
  <c r="L10" i="32"/>
  <c r="J10" i="32"/>
  <c r="F10" i="32"/>
  <c r="J9" i="32"/>
  <c r="L9" i="32"/>
  <c r="F9" i="32"/>
  <c r="L8" i="32"/>
  <c r="J8" i="32"/>
  <c r="L7" i="32"/>
  <c r="J7" i="32"/>
  <c r="L6" i="32"/>
  <c r="J6" i="32"/>
  <c r="L5" i="32"/>
  <c r="J5" i="32"/>
  <c r="F5" i="32"/>
  <c r="J4" i="32"/>
  <c r="L4" i="32"/>
  <c r="F4" i="32"/>
  <c r="L3" i="32"/>
  <c r="J3" i="32"/>
  <c r="J67" i="29"/>
  <c r="L67" i="29"/>
  <c r="F67" i="29"/>
  <c r="J66" i="29"/>
  <c r="L66" i="29"/>
  <c r="F66" i="29"/>
  <c r="J65" i="29"/>
  <c r="L65" i="29"/>
  <c r="F65" i="29"/>
  <c r="J64" i="29"/>
  <c r="L64" i="29"/>
  <c r="J59" i="29"/>
  <c r="L59" i="29"/>
  <c r="F59" i="29"/>
  <c r="J58" i="29"/>
  <c r="L58" i="29"/>
  <c r="F58" i="29"/>
  <c r="J57" i="29"/>
  <c r="L57" i="29"/>
  <c r="F57" i="29"/>
  <c r="J56" i="29"/>
  <c r="L56" i="29"/>
  <c r="J55" i="29"/>
  <c r="L55" i="29"/>
  <c r="F55" i="29"/>
  <c r="J54" i="29"/>
  <c r="L54" i="29"/>
  <c r="F54" i="29"/>
  <c r="J53" i="29"/>
  <c r="L53" i="29"/>
  <c r="F53" i="29"/>
  <c r="J52" i="29"/>
  <c r="L52" i="29"/>
  <c r="D3" i="30"/>
  <c r="D4" i="30"/>
  <c r="D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2" i="30"/>
  <c r="C27" i="30"/>
  <c r="C28" i="30"/>
  <c r="C29" i="30"/>
  <c r="C30" i="30"/>
  <c r="C31" i="30"/>
  <c r="C32" i="30"/>
  <c r="C33" i="30"/>
  <c r="C34" i="30"/>
  <c r="C3" i="30"/>
  <c r="C4" i="30"/>
  <c r="C5" i="30"/>
  <c r="C6" i="30"/>
  <c r="C7" i="30"/>
  <c r="C8" i="30"/>
  <c r="C9" i="30"/>
  <c r="C10" i="30"/>
  <c r="C11" i="30"/>
  <c r="C12" i="30"/>
  <c r="C13" i="30"/>
  <c r="C14" i="30"/>
  <c r="C15" i="30"/>
  <c r="C16" i="30"/>
  <c r="C17" i="30"/>
  <c r="C18" i="30"/>
  <c r="C19" i="30"/>
  <c r="C20" i="30"/>
  <c r="C21" i="30"/>
  <c r="C22" i="30"/>
  <c r="C23" i="30"/>
  <c r="C24" i="30"/>
  <c r="C25" i="30"/>
  <c r="C26" i="30"/>
  <c r="C2" i="30"/>
  <c r="J51" i="29"/>
  <c r="L51" i="29"/>
  <c r="F51" i="29"/>
  <c r="J50" i="29"/>
  <c r="L50" i="29"/>
  <c r="F50" i="29"/>
  <c r="J49" i="29"/>
  <c r="L49" i="29"/>
  <c r="F49" i="29"/>
  <c r="J48" i="29"/>
  <c r="L48" i="29"/>
  <c r="F48" i="29"/>
  <c r="J47" i="29"/>
  <c r="L47" i="29"/>
  <c r="F47" i="29"/>
  <c r="J46" i="29"/>
  <c r="L46" i="29"/>
  <c r="F46" i="29"/>
  <c r="J45" i="29"/>
  <c r="L45" i="29"/>
  <c r="J44" i="29"/>
  <c r="L44" i="29"/>
  <c r="J43" i="29"/>
  <c r="L43" i="29"/>
  <c r="J42" i="29"/>
  <c r="L42" i="29"/>
  <c r="F42" i="29"/>
  <c r="J41" i="29"/>
  <c r="L41" i="29"/>
  <c r="F41" i="29"/>
  <c r="J40" i="29"/>
  <c r="L40" i="29"/>
  <c r="J39" i="29"/>
  <c r="L39" i="29"/>
  <c r="F39" i="29"/>
  <c r="J38" i="29"/>
  <c r="L38" i="29"/>
  <c r="F38" i="29"/>
  <c r="J37" i="29"/>
  <c r="L37" i="29"/>
  <c r="F37" i="29"/>
  <c r="J36" i="29"/>
  <c r="L36" i="29"/>
  <c r="F36" i="29"/>
  <c r="J35" i="29"/>
  <c r="L35" i="29"/>
  <c r="F35" i="29"/>
  <c r="J34" i="29"/>
  <c r="L34" i="29"/>
  <c r="F34" i="29"/>
  <c r="J33" i="29"/>
  <c r="L33" i="29"/>
  <c r="J32" i="29"/>
  <c r="L32" i="29"/>
  <c r="J31" i="29"/>
  <c r="L31" i="29"/>
  <c r="J30" i="29"/>
  <c r="L30" i="29"/>
  <c r="F30" i="29"/>
  <c r="J29" i="29"/>
  <c r="L29" i="29"/>
  <c r="F29" i="29"/>
  <c r="J28" i="29"/>
  <c r="L28" i="29"/>
  <c r="J27" i="29"/>
  <c r="L27" i="29"/>
  <c r="F27" i="29"/>
  <c r="J26" i="29"/>
  <c r="L26" i="29"/>
  <c r="F26" i="29"/>
  <c r="J25" i="29"/>
  <c r="L25" i="29"/>
  <c r="F25" i="29"/>
  <c r="J24" i="29"/>
  <c r="L24" i="29"/>
  <c r="F24" i="29"/>
  <c r="J23" i="29"/>
  <c r="L23" i="29"/>
  <c r="F23" i="29"/>
  <c r="J22" i="29"/>
  <c r="L22" i="29"/>
  <c r="F22" i="29"/>
  <c r="J21" i="29"/>
  <c r="L21" i="29"/>
  <c r="J20" i="29"/>
  <c r="L20" i="29"/>
  <c r="J19" i="29"/>
  <c r="L19" i="29"/>
  <c r="J18" i="29"/>
  <c r="L18" i="29"/>
  <c r="F18" i="29"/>
  <c r="J17" i="29"/>
  <c r="L17" i="29"/>
  <c r="F17" i="29"/>
  <c r="J16" i="29"/>
  <c r="L16" i="29"/>
  <c r="J14" i="29"/>
  <c r="L14" i="29"/>
  <c r="F14" i="29"/>
  <c r="J13" i="29"/>
  <c r="L13" i="29"/>
  <c r="F13" i="29"/>
  <c r="J12" i="29"/>
  <c r="L12" i="29"/>
  <c r="F12" i="29"/>
  <c r="J11" i="29"/>
  <c r="L11" i="29"/>
  <c r="F11" i="29"/>
  <c r="J10" i="29"/>
  <c r="L10" i="29"/>
  <c r="F10" i="29"/>
  <c r="J9" i="29"/>
  <c r="L9" i="29"/>
  <c r="F9" i="29"/>
  <c r="J8" i="29"/>
  <c r="L8" i="29"/>
  <c r="J7" i="29"/>
  <c r="L7" i="29"/>
  <c r="J6" i="29"/>
  <c r="L6" i="29"/>
  <c r="J5" i="29"/>
  <c r="L5" i="29"/>
  <c r="F5" i="29"/>
  <c r="J4" i="29"/>
  <c r="L4" i="29"/>
  <c r="F4" i="29"/>
  <c r="J3" i="29"/>
  <c r="L3" i="29"/>
  <c r="F6" i="8"/>
  <c r="G6" i="8"/>
  <c r="H6" i="8"/>
  <c r="I6" i="8"/>
  <c r="F7" i="8"/>
  <c r="G7" i="8"/>
  <c r="H7" i="8"/>
  <c r="I7" i="8"/>
  <c r="F8" i="8"/>
  <c r="G8" i="8"/>
  <c r="H8" i="8"/>
  <c r="I8" i="8"/>
  <c r="F9" i="8"/>
  <c r="G9" i="8"/>
  <c r="H9" i="8"/>
  <c r="I9" i="8"/>
  <c r="G5" i="8"/>
  <c r="H5" i="8"/>
  <c r="I5" i="8"/>
  <c r="F5" i="8"/>
  <c r="E5" i="8"/>
  <c r="E6" i="8"/>
  <c r="E7" i="8"/>
  <c r="E8" i="8"/>
  <c r="E9" i="8"/>
  <c r="J193" i="15"/>
  <c r="L193" i="15"/>
  <c r="F193" i="15"/>
  <c r="J192" i="15"/>
  <c r="L192" i="15"/>
  <c r="F192" i="15"/>
  <c r="J191" i="15"/>
  <c r="L191" i="15"/>
  <c r="F191" i="15"/>
  <c r="J190" i="15"/>
  <c r="L190" i="15"/>
  <c r="J189" i="15"/>
  <c r="L189" i="15"/>
  <c r="F189" i="15"/>
  <c r="J188" i="15"/>
  <c r="L188" i="15"/>
  <c r="F188" i="15"/>
  <c r="J187" i="15"/>
  <c r="L187" i="15"/>
  <c r="F187" i="15"/>
  <c r="J186" i="15"/>
  <c r="L186" i="15"/>
  <c r="J185" i="15"/>
  <c r="L185" i="15"/>
  <c r="F185" i="15"/>
  <c r="J184" i="15"/>
  <c r="L184" i="15"/>
  <c r="F184" i="15"/>
  <c r="J183" i="15"/>
  <c r="L183" i="15"/>
  <c r="F183" i="15"/>
  <c r="J182" i="15"/>
  <c r="L182" i="15"/>
  <c r="J181" i="15"/>
  <c r="L181" i="15"/>
  <c r="F181" i="15"/>
  <c r="J180" i="15"/>
  <c r="L180" i="15"/>
  <c r="F180" i="15"/>
  <c r="J179" i="15"/>
  <c r="L179" i="15"/>
  <c r="F179" i="15"/>
  <c r="J178" i="15"/>
  <c r="L178" i="15"/>
  <c r="J177" i="15"/>
  <c r="L177" i="15"/>
  <c r="F177" i="15"/>
  <c r="J176" i="15"/>
  <c r="L176" i="15"/>
  <c r="F176" i="15"/>
  <c r="J175" i="15"/>
  <c r="L175" i="15"/>
  <c r="F175" i="15"/>
  <c r="J174" i="15"/>
  <c r="L174" i="15"/>
  <c r="J173" i="15"/>
  <c r="L173" i="15"/>
  <c r="F173" i="15"/>
  <c r="J172" i="15"/>
  <c r="L172" i="15"/>
  <c r="F172" i="15"/>
  <c r="J171" i="15"/>
  <c r="L171" i="15"/>
  <c r="F171" i="15"/>
  <c r="J170" i="15"/>
  <c r="L170" i="15"/>
  <c r="J169" i="15"/>
  <c r="L169" i="15"/>
  <c r="F169" i="15"/>
  <c r="J168" i="15"/>
  <c r="L168" i="15"/>
  <c r="F168" i="15"/>
  <c r="J167" i="15"/>
  <c r="L167" i="15"/>
  <c r="F167" i="15"/>
  <c r="J166" i="15"/>
  <c r="L166" i="15"/>
  <c r="J165" i="15"/>
  <c r="L165" i="15"/>
  <c r="F165" i="15"/>
  <c r="J164" i="15"/>
  <c r="L164" i="15"/>
  <c r="F164" i="15"/>
  <c r="J163" i="15"/>
  <c r="L163" i="15"/>
  <c r="F163" i="15"/>
  <c r="J162" i="15"/>
  <c r="L162" i="15"/>
  <c r="J161" i="15"/>
  <c r="L161" i="15"/>
  <c r="F161" i="15"/>
  <c r="J160" i="15"/>
  <c r="L160" i="15"/>
  <c r="F160" i="15"/>
  <c r="J159" i="15"/>
  <c r="L159" i="15"/>
  <c r="F159" i="15"/>
  <c r="J158" i="15"/>
  <c r="L158" i="15"/>
  <c r="J157" i="15"/>
  <c r="L157" i="15"/>
  <c r="F157" i="15"/>
  <c r="J156" i="15"/>
  <c r="L156" i="15"/>
  <c r="F156" i="15"/>
  <c r="J155" i="15"/>
  <c r="L155" i="15"/>
  <c r="J154" i="15"/>
  <c r="L154" i="15"/>
  <c r="J153" i="15"/>
  <c r="L153" i="15"/>
  <c r="J152" i="15"/>
  <c r="L152" i="15"/>
  <c r="F152" i="15"/>
  <c r="J151" i="15"/>
  <c r="L151" i="15"/>
  <c r="F151" i="15"/>
  <c r="J150" i="15"/>
  <c r="L150" i="15"/>
  <c r="J149" i="15"/>
  <c r="L149" i="15"/>
  <c r="F149" i="15"/>
  <c r="J148" i="15"/>
  <c r="L148" i="15"/>
  <c r="F148" i="15"/>
  <c r="J147" i="15"/>
  <c r="L147" i="15"/>
  <c r="F147" i="15"/>
  <c r="J146" i="15"/>
  <c r="L146" i="15"/>
  <c r="J145" i="15"/>
  <c r="L145" i="15"/>
  <c r="F145" i="15"/>
  <c r="J144" i="15"/>
  <c r="L144" i="15"/>
  <c r="F144" i="15"/>
  <c r="J143" i="15"/>
  <c r="L143" i="15"/>
  <c r="F143" i="15"/>
  <c r="J142" i="15"/>
  <c r="L142" i="15"/>
  <c r="J141" i="15"/>
  <c r="L141" i="15"/>
  <c r="F141" i="15"/>
  <c r="J140" i="15"/>
  <c r="L140" i="15"/>
  <c r="F140" i="15"/>
  <c r="J139" i="15"/>
  <c r="L139" i="15"/>
  <c r="F139" i="15"/>
  <c r="J138" i="15"/>
  <c r="L138" i="15"/>
  <c r="J137" i="15"/>
  <c r="L137" i="15"/>
  <c r="F137" i="15"/>
  <c r="J136" i="15"/>
  <c r="L136" i="15"/>
  <c r="F136" i="15"/>
  <c r="J135" i="15"/>
  <c r="L135" i="15"/>
  <c r="F135" i="15"/>
  <c r="J134" i="15"/>
  <c r="L134" i="15"/>
  <c r="J133" i="15"/>
  <c r="L133" i="15"/>
  <c r="F133" i="15"/>
  <c r="J132" i="15"/>
  <c r="L132" i="15"/>
  <c r="F132" i="15"/>
  <c r="J131" i="15"/>
  <c r="L131" i="15"/>
  <c r="F131" i="15"/>
  <c r="J130" i="15"/>
  <c r="L130" i="15"/>
  <c r="F130" i="15"/>
  <c r="J129" i="15"/>
  <c r="L129" i="15"/>
  <c r="F129" i="15"/>
  <c r="J128" i="15"/>
  <c r="L128" i="15"/>
  <c r="F128" i="15"/>
  <c r="J127" i="15"/>
  <c r="L127" i="15"/>
  <c r="J126" i="15"/>
  <c r="L126" i="15"/>
  <c r="J125" i="15"/>
  <c r="L125" i="15"/>
  <c r="J124" i="15"/>
  <c r="L124" i="15"/>
  <c r="F124" i="15"/>
  <c r="J123" i="15"/>
  <c r="L123" i="15"/>
  <c r="F123" i="15"/>
  <c r="J122" i="15"/>
  <c r="L122" i="15"/>
  <c r="J121" i="15"/>
  <c r="L121" i="15"/>
  <c r="F121" i="15"/>
  <c r="J120" i="15"/>
  <c r="L120" i="15"/>
  <c r="F120" i="15"/>
  <c r="J119" i="15"/>
  <c r="L119" i="15"/>
  <c r="F119" i="15"/>
  <c r="J118" i="15"/>
  <c r="L118" i="15"/>
  <c r="F118" i="15"/>
  <c r="J117" i="15"/>
  <c r="L117" i="15"/>
  <c r="F117" i="15"/>
  <c r="J116" i="15"/>
  <c r="L116" i="15"/>
  <c r="F116" i="15"/>
  <c r="J115" i="15"/>
  <c r="L115" i="15"/>
  <c r="J114" i="15"/>
  <c r="L114" i="15"/>
  <c r="J113" i="15"/>
  <c r="L113" i="15"/>
  <c r="J112" i="15"/>
  <c r="L112" i="15"/>
  <c r="F112" i="15"/>
  <c r="J111" i="15"/>
  <c r="L111" i="15"/>
  <c r="F111" i="15"/>
  <c r="J110" i="15"/>
  <c r="L110" i="15"/>
  <c r="J109" i="15"/>
  <c r="L109" i="15"/>
  <c r="F109" i="15"/>
  <c r="J108" i="15"/>
  <c r="L108" i="15"/>
  <c r="F108" i="15"/>
  <c r="J107" i="15"/>
  <c r="L107" i="15"/>
  <c r="F107" i="15"/>
  <c r="J106" i="15"/>
  <c r="L106" i="15"/>
  <c r="F106" i="15"/>
  <c r="J105" i="15"/>
  <c r="L105" i="15"/>
  <c r="F105" i="15"/>
  <c r="J104" i="15"/>
  <c r="L104" i="15"/>
  <c r="F104" i="15"/>
  <c r="J103" i="15"/>
  <c r="L103" i="15"/>
  <c r="J102" i="15"/>
  <c r="L102" i="15"/>
  <c r="J101" i="15"/>
  <c r="L101" i="15"/>
  <c r="J100" i="15"/>
  <c r="L100" i="15"/>
  <c r="F100" i="15"/>
  <c r="J99" i="15"/>
  <c r="L99" i="15"/>
  <c r="F99" i="15"/>
  <c r="J98" i="15"/>
  <c r="L98" i="15"/>
  <c r="J97" i="15"/>
  <c r="L97" i="15"/>
  <c r="F97" i="15"/>
  <c r="J96" i="15"/>
  <c r="L96" i="15"/>
  <c r="F96" i="15"/>
  <c r="J95" i="15"/>
  <c r="L95" i="15"/>
  <c r="F95" i="15"/>
  <c r="J94" i="15"/>
  <c r="L94" i="15"/>
  <c r="F94" i="15"/>
  <c r="J93" i="15"/>
  <c r="L93" i="15"/>
  <c r="F93" i="15"/>
  <c r="J92" i="15"/>
  <c r="L92" i="15"/>
  <c r="F92" i="15"/>
  <c r="J91" i="15"/>
  <c r="L91" i="15"/>
  <c r="J90" i="15"/>
  <c r="L90" i="15"/>
  <c r="J89" i="15"/>
  <c r="L89" i="15"/>
  <c r="J88" i="15"/>
  <c r="L88" i="15"/>
  <c r="F88" i="15"/>
  <c r="J87" i="15"/>
  <c r="L87" i="15"/>
  <c r="F87" i="15"/>
  <c r="J86" i="15"/>
  <c r="L86" i="15"/>
  <c r="J85" i="15"/>
  <c r="L85" i="15"/>
  <c r="F85" i="15"/>
  <c r="J84" i="15"/>
  <c r="L84" i="15"/>
  <c r="F84" i="15"/>
  <c r="J83" i="15"/>
  <c r="L83" i="15"/>
  <c r="F83" i="15"/>
  <c r="J82" i="15"/>
  <c r="L82" i="15"/>
  <c r="F82" i="15"/>
  <c r="J81" i="15"/>
  <c r="L81" i="15"/>
  <c r="F81" i="15"/>
  <c r="J80" i="15"/>
  <c r="L80" i="15"/>
  <c r="F80" i="15"/>
  <c r="J79" i="15"/>
  <c r="L79" i="15"/>
  <c r="J78" i="15"/>
  <c r="L78" i="15"/>
  <c r="J77" i="15"/>
  <c r="L77" i="15"/>
  <c r="J76" i="15"/>
  <c r="L76" i="15"/>
  <c r="F76" i="15"/>
  <c r="J75" i="15"/>
  <c r="L75" i="15"/>
  <c r="F75" i="15"/>
  <c r="J74" i="15"/>
  <c r="L74" i="15"/>
  <c r="J73" i="15"/>
  <c r="L73" i="15"/>
  <c r="F73" i="15"/>
  <c r="J72" i="15"/>
  <c r="L72" i="15"/>
  <c r="F72" i="15"/>
  <c r="J71" i="15"/>
  <c r="L71" i="15"/>
  <c r="F71" i="15"/>
  <c r="J70" i="15"/>
  <c r="L70" i="15"/>
  <c r="F70" i="15"/>
  <c r="J69" i="15"/>
  <c r="L69" i="15"/>
  <c r="F69" i="15"/>
  <c r="J68" i="15"/>
  <c r="L68" i="15"/>
  <c r="F68" i="15"/>
  <c r="J67" i="15"/>
  <c r="L67" i="15"/>
  <c r="J66" i="15"/>
  <c r="L66" i="15"/>
  <c r="J65" i="15"/>
  <c r="L65" i="15"/>
  <c r="J64" i="15"/>
  <c r="L64" i="15"/>
  <c r="F64" i="15"/>
  <c r="J63" i="15"/>
  <c r="L63" i="15"/>
  <c r="F63" i="15"/>
  <c r="J62" i="15"/>
  <c r="L62" i="15"/>
  <c r="J60" i="15"/>
  <c r="L60" i="15"/>
  <c r="J59" i="15"/>
  <c r="L59" i="15"/>
  <c r="J58" i="15"/>
  <c r="L58" i="15"/>
  <c r="J61" i="15"/>
  <c r="L61" i="15"/>
  <c r="F61" i="15"/>
  <c r="F60" i="15"/>
  <c r="F59" i="15"/>
  <c r="F58" i="15"/>
  <c r="J57" i="15"/>
  <c r="L57" i="15"/>
  <c r="F57" i="15"/>
  <c r="J56" i="15"/>
  <c r="L56" i="15"/>
  <c r="F56" i="15"/>
  <c r="J55" i="15"/>
  <c r="L55" i="15"/>
  <c r="J54" i="15"/>
  <c r="L54" i="15"/>
  <c r="J53" i="15"/>
  <c r="L53" i="15"/>
  <c r="J52" i="15"/>
  <c r="L52" i="15"/>
  <c r="F52" i="15"/>
  <c r="J51" i="15"/>
  <c r="L51" i="15"/>
  <c r="F51" i="15"/>
  <c r="J50" i="15"/>
  <c r="L50" i="15"/>
  <c r="J40" i="15"/>
  <c r="L40" i="15"/>
  <c r="F40" i="15"/>
  <c r="J24" i="15"/>
  <c r="L24" i="15"/>
  <c r="J5" i="15"/>
  <c r="L5" i="15"/>
  <c r="F5" i="15"/>
  <c r="J28" i="15"/>
  <c r="L28" i="15"/>
  <c r="F28" i="15"/>
  <c r="J49" i="15"/>
  <c r="L49" i="15"/>
  <c r="F49" i="15"/>
  <c r="J48" i="15"/>
  <c r="L48" i="15"/>
  <c r="F48" i="15"/>
  <c r="J47" i="15"/>
  <c r="L47" i="15"/>
  <c r="F47" i="15"/>
  <c r="J46" i="15"/>
  <c r="L46" i="15"/>
  <c r="F46" i="15"/>
  <c r="J45" i="15"/>
  <c r="L45" i="15"/>
  <c r="F45" i="15"/>
  <c r="J44" i="15"/>
  <c r="L44" i="15"/>
  <c r="F44" i="15"/>
  <c r="J43" i="15"/>
  <c r="L43" i="15"/>
  <c r="J42" i="15"/>
  <c r="L42" i="15"/>
  <c r="J41" i="15"/>
  <c r="L41" i="15"/>
  <c r="J39" i="15"/>
  <c r="L39" i="15"/>
  <c r="F39" i="15"/>
  <c r="J38" i="15"/>
  <c r="L38" i="15"/>
  <c r="J35" i="15"/>
  <c r="L35" i="15"/>
  <c r="F35" i="15"/>
  <c r="J34" i="15"/>
  <c r="L34" i="15"/>
  <c r="F34" i="15"/>
  <c r="J33" i="15"/>
  <c r="L33" i="15"/>
  <c r="F33" i="15"/>
  <c r="J32" i="15"/>
  <c r="L32" i="15"/>
  <c r="F32" i="15"/>
  <c r="J31" i="15"/>
  <c r="L31" i="15"/>
  <c r="J30" i="15"/>
  <c r="L30" i="15"/>
  <c r="J29" i="15"/>
  <c r="L29" i="15"/>
  <c r="J27" i="15"/>
  <c r="L27" i="15"/>
  <c r="F27" i="15"/>
  <c r="J26" i="15"/>
  <c r="L26" i="15"/>
  <c r="J23" i="15"/>
  <c r="L23" i="15"/>
  <c r="F23" i="15"/>
  <c r="J22" i="15"/>
  <c r="L22" i="15"/>
  <c r="F22" i="15"/>
  <c r="J21" i="15"/>
  <c r="L21" i="15"/>
  <c r="F21" i="15"/>
  <c r="J20" i="15"/>
  <c r="L20" i="15"/>
  <c r="F20" i="15"/>
  <c r="J19" i="15"/>
  <c r="L19" i="15"/>
  <c r="J18" i="15"/>
  <c r="L18" i="15"/>
  <c r="J17" i="15"/>
  <c r="L17" i="15"/>
  <c r="J16" i="15"/>
  <c r="L16" i="15"/>
  <c r="F16" i="15"/>
  <c r="J15" i="15"/>
  <c r="L15" i="15"/>
  <c r="J13" i="15"/>
  <c r="L13" i="15"/>
  <c r="F13" i="15"/>
  <c r="J10" i="15"/>
  <c r="L10" i="15"/>
  <c r="J9" i="15"/>
  <c r="L9" i="15"/>
  <c r="J8" i="15"/>
  <c r="L8" i="15"/>
  <c r="J7" i="15"/>
  <c r="L7" i="15"/>
  <c r="J6" i="15"/>
  <c r="L6" i="15"/>
  <c r="J4" i="15"/>
  <c r="L4" i="15"/>
  <c r="J11" i="15"/>
  <c r="L11" i="15"/>
  <c r="J12" i="15"/>
  <c r="L12" i="15"/>
  <c r="J14" i="15"/>
  <c r="L14" i="15"/>
  <c r="J194" i="15"/>
  <c r="L194" i="15"/>
  <c r="J3" i="15"/>
  <c r="L3" i="15"/>
  <c r="F14" i="15"/>
  <c r="F12" i="15"/>
  <c r="F11" i="15"/>
  <c r="F10" i="15"/>
  <c r="F9" i="15"/>
  <c r="F4" i="15"/>
</calcChain>
</file>

<file path=xl/comments1.xml><?xml version="1.0" encoding="utf-8"?>
<comments xmlns="http://schemas.openxmlformats.org/spreadsheetml/2006/main">
  <authors>
    <author>Lim Sek Seong</author>
  </authors>
  <commentList>
    <comment ref="A1" authorId="0" shapeId="0">
      <text>
        <r>
          <rPr>
            <b/>
            <sz val="9"/>
            <color indexed="81"/>
            <rFont val="Tahoma"/>
            <family val="2"/>
          </rPr>
          <t>Lim Sek Seong:</t>
        </r>
        <r>
          <rPr>
            <sz val="9"/>
            <color indexed="81"/>
            <rFont val="Tahoma"/>
            <family val="2"/>
          </rPr>
          <t xml:space="preserve">
Copied from column B of RA-RTP worksheet </t>
        </r>
      </text>
    </comment>
  </commentList>
</comments>
</file>

<file path=xl/sharedStrings.xml><?xml version="1.0" encoding="utf-8"?>
<sst xmlns="http://schemas.openxmlformats.org/spreadsheetml/2006/main" count="6868" uniqueCount="861">
  <si>
    <t>No</t>
  </si>
  <si>
    <t>Asset owner</t>
  </si>
  <si>
    <t>Threat</t>
  </si>
  <si>
    <t>Vulnerability</t>
  </si>
  <si>
    <t>Risk owner</t>
  </si>
  <si>
    <t>Impact Severity</t>
  </si>
  <si>
    <t>Likelihood</t>
  </si>
  <si>
    <t>Risk</t>
  </si>
  <si>
    <t>Existing controls</t>
  </si>
  <si>
    <t>Catalogue of threats</t>
  </si>
  <si>
    <t>accidental change of information system data</t>
  </si>
  <si>
    <t>application errors</t>
  </si>
  <si>
    <t>bomb attack</t>
  </si>
  <si>
    <t>bomb threat</t>
  </si>
  <si>
    <t>breach of contractual relations</t>
  </si>
  <si>
    <t>breach of legislation</t>
  </si>
  <si>
    <t>breakdown of communication links</t>
  </si>
  <si>
    <t>concealing user identity</t>
  </si>
  <si>
    <t>damage caused by third-party activities</t>
  </si>
  <si>
    <t>damage incurred during penetration testing</t>
  </si>
  <si>
    <t>destruction of records</t>
  </si>
  <si>
    <t>deterioration of media</t>
  </si>
  <si>
    <t>disclosure of passwords</t>
  </si>
  <si>
    <t>eavesdropping</t>
  </si>
  <si>
    <t>embezzlement</t>
  </si>
  <si>
    <t>equipment failure</t>
  </si>
  <si>
    <t>falsification of records</t>
  </si>
  <si>
    <t>fire</t>
  </si>
  <si>
    <t>flood</t>
  </si>
  <si>
    <t>fraud</t>
  </si>
  <si>
    <t>industrial espionage</t>
  </si>
  <si>
    <t>information interception</t>
  </si>
  <si>
    <t>interruption of power supply</t>
  </si>
  <si>
    <t>leakage/disclosure of information</t>
  </si>
  <si>
    <t>loss of support services</t>
  </si>
  <si>
    <t>maintenance errors</t>
  </si>
  <si>
    <t>malicious code</t>
  </si>
  <si>
    <t>misuse of audit tools</t>
  </si>
  <si>
    <t>misuse of information systems</t>
  </si>
  <si>
    <t>other disasters (man-made)</t>
  </si>
  <si>
    <t>other disasters (natural)</t>
  </si>
  <si>
    <t>pollution</t>
  </si>
  <si>
    <t>social engineering</t>
  </si>
  <si>
    <t>strike</t>
  </si>
  <si>
    <t>lightning strike</t>
  </si>
  <si>
    <t>terrorist attacks</t>
  </si>
  <si>
    <t>theft</t>
  </si>
  <si>
    <t>unauthorized access to the information system</t>
  </si>
  <si>
    <t>unauthorized change of records</t>
  </si>
  <si>
    <t>unauthorized installation of software</t>
  </si>
  <si>
    <t>unauthorized network access</t>
  </si>
  <si>
    <t>unauthorized physical access</t>
  </si>
  <si>
    <t>unauthorized use of licensed materials</t>
  </si>
  <si>
    <t>unauthorized use of software</t>
  </si>
  <si>
    <t>use of unauthorized or untested code</t>
  </si>
  <si>
    <t>user error</t>
  </si>
  <si>
    <t>vandalism</t>
  </si>
  <si>
    <t>Catalogue of vulnerabilities</t>
  </si>
  <si>
    <t xml:space="preserve">The following is a list of vulnerabilities. </t>
  </si>
  <si>
    <t>This list is not final. Each organization may add situation-specific vulnerabilities.</t>
  </si>
  <si>
    <t>active sessions after working hours</t>
  </si>
  <si>
    <t>cable placing</t>
  </si>
  <si>
    <t>complicated user interface</t>
  </si>
  <si>
    <t>cryptographic keys accessible to unauthorized persons</t>
  </si>
  <si>
    <t>disposal of storage media without erasing data</t>
  </si>
  <si>
    <t>extensive powers</t>
  </si>
  <si>
    <t>inadequate capacity management</t>
  </si>
  <si>
    <t>inadequate change control</t>
  </si>
  <si>
    <t>inadequate level of knowledge and/or awareness of employees</t>
  </si>
  <si>
    <t>inadequate maintenance</t>
  </si>
  <si>
    <t>inadequate network management</t>
  </si>
  <si>
    <t>inadequate segregation of duties</t>
  </si>
  <si>
    <t>inadequate supervision of external suppliers</t>
  </si>
  <si>
    <t>inadequate supervision of the work of employees</t>
  </si>
  <si>
    <t>inadequate user rights</t>
  </si>
  <si>
    <t>information available to unauthorized persons</t>
  </si>
  <si>
    <t>lack of evidence of sent or received messages</t>
  </si>
  <si>
    <t>lack of input and output data control</t>
  </si>
  <si>
    <t>lack of or poor internal audit implementation</t>
  </si>
  <si>
    <t>lack of validation for processed data</t>
  </si>
  <si>
    <t>location sensitive to natural disasters</t>
  </si>
  <si>
    <t>location sensitive to water leakage</t>
  </si>
  <si>
    <t>mobile equipment subject to theft</t>
  </si>
  <si>
    <t>networks accessible to unauthorized persons</t>
  </si>
  <si>
    <t>no deactivation of user accounts after termination of employment</t>
  </si>
  <si>
    <t>no separation of test and operational environment</t>
  </si>
  <si>
    <t>out-of-date databases for protection against malicious code</t>
  </si>
  <si>
    <t>over-dependence on one device/system</t>
  </si>
  <si>
    <t>poor selection of test data</t>
  </si>
  <si>
    <t>sensitivity of equipment to humidity and pollution</t>
  </si>
  <si>
    <t>sensitivity of equipment to temperature</t>
  </si>
  <si>
    <t>sensitivity of equipment to voltage change</t>
  </si>
  <si>
    <t>single copy, only one copy of information</t>
  </si>
  <si>
    <t>system-generated user accounts and passwords remain unchanged</t>
  </si>
  <si>
    <t>systems unprotected from unauthorized access</t>
  </si>
  <si>
    <t>unauthorized access to facilities allowed</t>
  </si>
  <si>
    <t>unclearly defined confidentiality level</t>
  </si>
  <si>
    <t>unclearly defined cryptographic rules</t>
  </si>
  <si>
    <t>unclearly defined organizational rules</t>
  </si>
  <si>
    <t>unclearly defined requirements for software development</t>
  </si>
  <si>
    <t>unclearly defined rules for access control</t>
  </si>
  <si>
    <t>unclearly defined rules for working off-premises</t>
  </si>
  <si>
    <t>uncontrolled copying</t>
  </si>
  <si>
    <t>uncontrolled Internet downloads</t>
  </si>
  <si>
    <t>uncontrolled use of information systems</t>
  </si>
  <si>
    <t>undocumented software</t>
  </si>
  <si>
    <t>unmotivated or disgruntled employees</t>
  </si>
  <si>
    <t>unprotected public network connections</t>
  </si>
  <si>
    <t>use of old equipment</t>
  </si>
  <si>
    <t>weak passwords</t>
  </si>
  <si>
    <t>Asset &amp; Risk Owners</t>
  </si>
  <si>
    <t>Abbrev</t>
  </si>
  <si>
    <t>hacking or virus attack</t>
  </si>
  <si>
    <t>Impact</t>
  </si>
  <si>
    <t>A.5.1.1 Policies for information security</t>
  </si>
  <si>
    <t>A.5.1.2 Review of the policies for information security</t>
  </si>
  <si>
    <t>A.6.1.1 Information security roles and responsibilities</t>
  </si>
  <si>
    <t>A.6.1.2 Segregation of duties</t>
  </si>
  <si>
    <t>A.6.1.3 Contact with authorities</t>
  </si>
  <si>
    <t>A.6.1.4 Contact with special interest groups</t>
  </si>
  <si>
    <t>A.6.1.5 Information security in project management</t>
  </si>
  <si>
    <t>A.6.2.1 Mobile device policy</t>
  </si>
  <si>
    <t>A.6.2.2 Teleworking</t>
  </si>
  <si>
    <t>A.7.1.1 Screening</t>
  </si>
  <si>
    <t>A.7.1.2 Terms and conditions of employment</t>
  </si>
  <si>
    <t>A.7.2.1 Management responsibilities</t>
  </si>
  <si>
    <t>A.7.2.2 Information security awareness, education and training</t>
  </si>
  <si>
    <t>A.7.2.3 Disciplinary process</t>
  </si>
  <si>
    <t>A.7.3.1 Termination or change of employment responsibilities</t>
  </si>
  <si>
    <t>A.8.1.1 Inventory of assets</t>
  </si>
  <si>
    <t>A.8.1.2 Ownership of assets</t>
  </si>
  <si>
    <t>A.8.1.3 Acceptable use of assets</t>
  </si>
  <si>
    <t>A.8.1.4 Return of assets</t>
  </si>
  <si>
    <t>A.8.2.1 Classification of information</t>
  </si>
  <si>
    <t>A.8.2.2 Labelling of information</t>
  </si>
  <si>
    <t>A.8.2.3 Handling of assets</t>
  </si>
  <si>
    <t>A.8.3.1 Management of removable media</t>
  </si>
  <si>
    <t>A.8.3.2 Disposal of media</t>
  </si>
  <si>
    <t>A.8.3.3 Physical media transfer</t>
  </si>
  <si>
    <t>A.9.1.1 Access control policy</t>
  </si>
  <si>
    <t>A.9.1.2 Access to networks and network services</t>
  </si>
  <si>
    <t>A.9.2.1 User registration and de-registration</t>
  </si>
  <si>
    <t>A.9.2.2 User access provisioning</t>
  </si>
  <si>
    <t>A.9.2.3 Management of privileged access rights</t>
  </si>
  <si>
    <t>A.9.2.4 Management of secret authentication information of users</t>
  </si>
  <si>
    <t>A.9.2.5 Review of user access rights</t>
  </si>
  <si>
    <t>A.9.2.6 Removal or adjustment of access rights</t>
  </si>
  <si>
    <t>A.9.3.1 Use of secret authentication information</t>
  </si>
  <si>
    <t>A.9.4.1 Information access restriction</t>
  </si>
  <si>
    <t>A.9.4.2 Secure log-on procedures</t>
  </si>
  <si>
    <t>A.9.4.3 Password management system</t>
  </si>
  <si>
    <t>A.9.4.4 Use of privileged utility programs</t>
  </si>
  <si>
    <t>A.9.4.5 Access control to program source code</t>
  </si>
  <si>
    <t>A.10.1.1 Policy on the use of cryptographic controls</t>
  </si>
  <si>
    <t>A.10.1.2 Key management</t>
  </si>
  <si>
    <t>A.11.1.1 Physical security perimeter</t>
  </si>
  <si>
    <t>A.11.1.2 Physical entry controls</t>
  </si>
  <si>
    <t>A.11.1.3 Securing offices, rooms and facilities</t>
  </si>
  <si>
    <t>A.11.1.4 Protecting against external and environmental threats</t>
  </si>
  <si>
    <t>A.11.1.5 Working in secure areas</t>
  </si>
  <si>
    <t>A.11.1.6 Delivery and loading areas</t>
  </si>
  <si>
    <t>A.11.2.1 Equipment siting and protection</t>
  </si>
  <si>
    <t>A.11.2.2 Supporting utilities</t>
  </si>
  <si>
    <t>A.11.2.3 Cabling security</t>
  </si>
  <si>
    <t>A.11.2.4 Equipment maintenance</t>
  </si>
  <si>
    <t>A.11.2.5 Removal of assets</t>
  </si>
  <si>
    <t>A.11.2.6 Security of equipment and assets off-premises</t>
  </si>
  <si>
    <t>A.11.2.7 Secure disposal or reuse of equipment</t>
  </si>
  <si>
    <t>A.11.2.8 Unattended user equipment</t>
  </si>
  <si>
    <t>A.11.2.9 Clear desk and clear screen policy</t>
  </si>
  <si>
    <t>A.12.1.1 Documented operating procedures</t>
  </si>
  <si>
    <t>A.12.1.2 Change management</t>
  </si>
  <si>
    <t>A.12.1.3 Capacity management</t>
  </si>
  <si>
    <t>A.12.1.4 Separation of development, testing and operational environments</t>
  </si>
  <si>
    <t>A.12.2.1 Controls against malware</t>
  </si>
  <si>
    <t>A.12.3.1 Information backup</t>
  </si>
  <si>
    <t>A.12.4.1 Event logging</t>
  </si>
  <si>
    <t>A.12.4.2 Protection of log information</t>
  </si>
  <si>
    <t>A.12.4.3 Administrator and operator logs</t>
  </si>
  <si>
    <t>A.12.4.4 Clock synchronisation</t>
  </si>
  <si>
    <t>A.12.5.1 Installation of software on operational systems</t>
  </si>
  <si>
    <t>A.12.6.1 Management of technical vulnerabilities</t>
  </si>
  <si>
    <t>A.12.6.2 Restrictions on software installation</t>
  </si>
  <si>
    <t>A.12.7.1 Information systems audit controls</t>
  </si>
  <si>
    <t>A.13.1.1 Network controls</t>
  </si>
  <si>
    <t>A.13.1.2 Security of network services</t>
  </si>
  <si>
    <t>A.13.1.3 Segregation in networks</t>
  </si>
  <si>
    <t>A.13.2.1 Information transfer policies and procedures</t>
  </si>
  <si>
    <t>A.13.2.2 Agreements on information transfer</t>
  </si>
  <si>
    <t>A.13.2.3 Electronic messaging</t>
  </si>
  <si>
    <t>A.13.2.4 Confidentiality or nondisclosure agreements</t>
  </si>
  <si>
    <t>A.14.1.1 Information security requirements analysis and specification</t>
  </si>
  <si>
    <t>A.14.1.2 Securing application services on public networks</t>
  </si>
  <si>
    <t>A.14.1.3 Protecting application services transactions</t>
  </si>
  <si>
    <t>A.14.2.1 Secure development policy</t>
  </si>
  <si>
    <t>A.14.2.2 System change control procedures</t>
  </si>
  <si>
    <t>A.14.2.3 Technical review of applications after operating platform changes</t>
  </si>
  <si>
    <t>A.14.2.4 Restrictions on changes to software packages</t>
  </si>
  <si>
    <t>A.14.2.5 Secure system engineering principles</t>
  </si>
  <si>
    <t>A.14.2.6 Secure development environment</t>
  </si>
  <si>
    <t>A.14.2.7 Outsourced development</t>
  </si>
  <si>
    <t>A.14.2.8 System security testing</t>
  </si>
  <si>
    <t>A.14.2.9 System acceptance testing</t>
  </si>
  <si>
    <t>A.14.3.1 Protection of test data</t>
  </si>
  <si>
    <t>A.15.1.1 Information security policy for supplier relationships</t>
  </si>
  <si>
    <t>A.15.1.2 Addressing security within supplier agreements</t>
  </si>
  <si>
    <t>A.15.1.3 Information and communication technology supply chain</t>
  </si>
  <si>
    <t>A.15.2.1 Monitoring and review of supplier services</t>
  </si>
  <si>
    <t>A.15.2.2 Managing changes to supplier services</t>
  </si>
  <si>
    <t>A.16.1.1 Responsibilities and procedures</t>
  </si>
  <si>
    <t>A.16.1.2 Reporting information security events</t>
  </si>
  <si>
    <t>A.16.1.3 Reporting information security weaknesses</t>
  </si>
  <si>
    <t>A.16.1.4 Assessment of and decision on information security events</t>
  </si>
  <si>
    <t>A.16.1.5 Response to information security incidents</t>
  </si>
  <si>
    <t>A.16.1.6 Learning from information security incidents</t>
  </si>
  <si>
    <t>A.16.1.7 Collection of evidence</t>
  </si>
  <si>
    <t>A.17.1.1 Planning information security continuity</t>
  </si>
  <si>
    <t>A.17.1.2 Implementing information security continuity</t>
  </si>
  <si>
    <t>A.17.1.3 Verify, review and evaluate information security continuity</t>
  </si>
  <si>
    <t>A.17.2.1 Availability of information processing facilities</t>
  </si>
  <si>
    <t>A.18.1.1 Identification of applicable legislation and contractual requirements</t>
  </si>
  <si>
    <t>A.18.1.2 Intellectual property rights</t>
  </si>
  <si>
    <t>A.18.1.3 Protection of records</t>
  </si>
  <si>
    <t>A.18.1.4 Privacy and protection of personally identifiable information</t>
  </si>
  <si>
    <t>A.18.1.5 Regulation of cryptographic controls</t>
  </si>
  <si>
    <t>A.18.2.1 Independent review of information security</t>
  </si>
  <si>
    <t>A.18.2.2 Compliance with security policies and standards</t>
  </si>
  <si>
    <t>A.18.2.3 Technical compliance review</t>
  </si>
  <si>
    <t>Firewall</t>
  </si>
  <si>
    <t>NAS</t>
  </si>
  <si>
    <t>Confidential</t>
  </si>
  <si>
    <t>Controls according to Annex A of the ISO/IEC 27001:2013 standard</t>
  </si>
  <si>
    <t>Controls according to Annex A of the ISO/IEC 27001:2005 standard</t>
  </si>
  <si>
    <t xml:space="preserve">A.5 Information Security Policy </t>
  </si>
  <si>
    <t>A.5.1.1  Information Security Policy Document</t>
  </si>
  <si>
    <t xml:space="preserve">A.5.1.2  Review of Information Security Policy </t>
  </si>
  <si>
    <t>A.6.1.1  Management Commitment to information security</t>
  </si>
  <si>
    <t>A.6.1.3  Allocation of information security Responsibilities</t>
  </si>
  <si>
    <t>A.6.1.2  Information security Co-ordination</t>
  </si>
  <si>
    <t>A.6.1.4  Authorization process for Information Processing facilities</t>
  </si>
  <si>
    <t>A.6.1.5  Confidentiality agreements</t>
  </si>
  <si>
    <t>A.6.1.6  Contact with authorities</t>
  </si>
  <si>
    <t>A.6.1.7  Contact with special interest groups</t>
  </si>
  <si>
    <t>A.6.1.8  Independent review of information security</t>
  </si>
  <si>
    <t>A.6.2  External Parties</t>
  </si>
  <si>
    <t>A.6.1  Internal Organization</t>
  </si>
  <si>
    <t>A.6.2.1  Identification of risk related to external parties</t>
  </si>
  <si>
    <t>A.6.2.2  Addressing security when dealing with customers</t>
  </si>
  <si>
    <t>A.6.2.3  Addressing security in third party agreements</t>
  </si>
  <si>
    <t>A.7.1  Responsibility for Assets</t>
  </si>
  <si>
    <t>A.6  Organization of information security</t>
  </si>
  <si>
    <t>A.7  Asset management</t>
  </si>
  <si>
    <t>A.7.1.1 Inventory of assets</t>
  </si>
  <si>
    <t>A.7.1.2  Ownership of Assets</t>
  </si>
  <si>
    <t>A.7.1.3  Acceptable use of assets</t>
  </si>
  <si>
    <t>A.7.2  Information classification</t>
  </si>
  <si>
    <t>A.7.2.1  Classification Guidelines</t>
  </si>
  <si>
    <t>A.7.2.2  Information Labeling and Handling</t>
  </si>
  <si>
    <t>A.8  Human resources security</t>
  </si>
  <si>
    <t>A.8.1  Prior to Employment</t>
  </si>
  <si>
    <t>A.8.1.1  Roles and Responsibilities</t>
  </si>
  <si>
    <t>A.8.1.2  Screening</t>
  </si>
  <si>
    <t>A.8.1.3  Terms and conditions of employment</t>
  </si>
  <si>
    <t>A.8.2  During Employment</t>
  </si>
  <si>
    <t>A.8.2.1  Management Responsibility</t>
  </si>
  <si>
    <t>A.8.2.2  Information security awareness, education and training</t>
  </si>
  <si>
    <t>A.8.2.3  Disciplinary process</t>
  </si>
  <si>
    <t>A.8.3  Termination or change of employment</t>
  </si>
  <si>
    <t>A.8.3.1  Termination responsibility</t>
  </si>
  <si>
    <t>A.8.3.2  Return of assets</t>
  </si>
  <si>
    <t>A.8.3.3  Removal of access rights</t>
  </si>
  <si>
    <t>A.9  Physical and environmental security</t>
  </si>
  <si>
    <t>A.9.1  Secure Areas</t>
  </si>
  <si>
    <t>A.9.1.1  Physical security Perimeter</t>
  </si>
  <si>
    <t>A.9.1.2  Physical entry controls</t>
  </si>
  <si>
    <t>A.9.1.3  Securing offices, rooms and facilities</t>
  </si>
  <si>
    <t>A.9.1.4  Protecting against external and environmental threats</t>
  </si>
  <si>
    <t>A.9.1.5  Working in secure areas</t>
  </si>
  <si>
    <t>A.9.1.6  Public access, delivery and loading areas</t>
  </si>
  <si>
    <t>A.9.2  Equipment security</t>
  </si>
  <si>
    <t>A.9.2.1  Equipment sitting and protection</t>
  </si>
  <si>
    <t>A.9.2.2  Support utilities</t>
  </si>
  <si>
    <t>A.9.2.3  Cabling security</t>
  </si>
  <si>
    <t>A.9.2.4  Equipment Maintenance</t>
  </si>
  <si>
    <t>A.9.2.5  Security of equipment off-premises</t>
  </si>
  <si>
    <t>A.9.2.6  Secure disposal or reuse of equipment</t>
  </si>
  <si>
    <t>A.9.2.7  Removal of Property</t>
  </si>
  <si>
    <t>A.10.1  Operational Procedures and responsibilities</t>
  </si>
  <si>
    <t>A.10  Communications and operations management</t>
  </si>
  <si>
    <t>A.10.1.1  Documented operating Procedures</t>
  </si>
  <si>
    <t>A.10.1.2  Change Management</t>
  </si>
  <si>
    <t>A.10.1.3  Segregation of Duties</t>
  </si>
  <si>
    <t>A.10.1.4  Separation of development and Operations facilities</t>
  </si>
  <si>
    <t>A.10.2  Third Party Service Delivery Management</t>
  </si>
  <si>
    <t>A.10.2.1  Service Delivery</t>
  </si>
  <si>
    <t>A.10.2.2  Monitoring and review of third party services</t>
  </si>
  <si>
    <t>A.10.2.3  Manage changes to the third party services</t>
  </si>
  <si>
    <t>A.10.3  System Planning and Acceptance</t>
  </si>
  <si>
    <t>A.10.3.1  Capacity management</t>
  </si>
  <si>
    <t>A.10.3.2  System acceptance</t>
  </si>
  <si>
    <t>A.10.4  Protection against Malicious and Mobile Code</t>
  </si>
  <si>
    <t>A.10.4.2  Controls against Mobile code</t>
  </si>
  <si>
    <t>A.10.4.1  Controls against malicious code</t>
  </si>
  <si>
    <t>A.10.5  Back-Up</t>
  </si>
  <si>
    <t>A.10.5.1  Information Backup</t>
  </si>
  <si>
    <t>A.10.6  Network Security Management</t>
  </si>
  <si>
    <t>A.10.6.1  Network controls</t>
  </si>
  <si>
    <t>A.10.6.2  Security of Network services</t>
  </si>
  <si>
    <t>A.10.7  Media Handling</t>
  </si>
  <si>
    <t>A.10.7.1  Management of removable media</t>
  </si>
  <si>
    <t>A.10.7.2  Disposal of Media</t>
  </si>
  <si>
    <t>A.10.7.3  Information handling procedures</t>
  </si>
  <si>
    <t>A.10.7.4  Security of system documentation</t>
  </si>
  <si>
    <t>A.10.8  Exchange of Information</t>
  </si>
  <si>
    <t>A.10.8.1  Information exchange policies and procedures</t>
  </si>
  <si>
    <t>A.10.8.2  Exchange agreements</t>
  </si>
  <si>
    <t>A.10.8.3  Physical media in transit</t>
  </si>
  <si>
    <t>A.10.8.4  Electronic Messaging</t>
  </si>
  <si>
    <t>A.10.8.5  Business Information systems</t>
  </si>
  <si>
    <t>A.10.9  Electronic Commerce Services</t>
  </si>
  <si>
    <t xml:space="preserve">A.10.9.1  Electronic Commerce </t>
  </si>
  <si>
    <t>A.10.9.2  On-Line transactions</t>
  </si>
  <si>
    <t>A.10.9.3  Publicly available information</t>
  </si>
  <si>
    <t>A.10.10  Monitoring</t>
  </si>
  <si>
    <t>A.10.10.1  Audit logging</t>
  </si>
  <si>
    <t>A.10.10.2  Monitoring system use</t>
  </si>
  <si>
    <t>A.10.10.3  Protection of log information</t>
  </si>
  <si>
    <t>A.10.10.4  Administrator and operator logs</t>
  </si>
  <si>
    <t>A.10.10.5  Fault logging</t>
  </si>
  <si>
    <t>A.10.10.6  Clock synchronization</t>
  </si>
  <si>
    <t>A.11  Access control</t>
  </si>
  <si>
    <t>A.11.1  Business Requirement for Access Control</t>
  </si>
  <si>
    <t>A.11.1.1  Access control Policy</t>
  </si>
  <si>
    <t>A.11.2  User Access Management</t>
  </si>
  <si>
    <t>A.11.2.1  User Registration</t>
  </si>
  <si>
    <t>A.11.2.2  Privilege Measurement</t>
  </si>
  <si>
    <t>A.11.2.3  User password management</t>
  </si>
  <si>
    <t>A.11.2.4  Review of user access rights</t>
  </si>
  <si>
    <t>A.11.3  User Responsibilities</t>
  </si>
  <si>
    <t>A.11.3.1  Password Use</t>
  </si>
  <si>
    <t>A.11.3.2  Unattended user equipment</t>
  </si>
  <si>
    <t>A.11.3.3  Clear Desk and Clear Screen Policy</t>
  </si>
  <si>
    <t>A.11.4  Network Access control</t>
  </si>
  <si>
    <t>A.11.4.1  Policy on use of network services</t>
  </si>
  <si>
    <t>A.11.4.2  User authentication for external connections</t>
  </si>
  <si>
    <t>A.11.4.3  Equipment identification in networks</t>
  </si>
  <si>
    <t>A.11.4.4  Remote diagnostic and configuration port protection</t>
  </si>
  <si>
    <t>A.11.4.5  Segregation in networks</t>
  </si>
  <si>
    <t>A.11.4.6  Network connection control</t>
  </si>
  <si>
    <t>A.11.4.7  Network Routing control</t>
  </si>
  <si>
    <t>A.11.5  Operating System Access Control</t>
  </si>
  <si>
    <t>A.11.5.1  Secure Log-on procedures</t>
  </si>
  <si>
    <t>A.11.5.2  User identification and authentication</t>
  </si>
  <si>
    <t>A.11.5.3  Password Management system</t>
  </si>
  <si>
    <t>A.11.5.4  Use of system utilities</t>
  </si>
  <si>
    <t>A.11.5.5  Session Time-out</t>
  </si>
  <si>
    <t>A.11.5.6  Limitation of connection time</t>
  </si>
  <si>
    <t>A.11.6  Application access control</t>
  </si>
  <si>
    <t>A.11.6.1  Information access restriction</t>
  </si>
  <si>
    <t>A.11.6.2  Sensitive system isolation</t>
  </si>
  <si>
    <t>A.11.7  Mobile Computing and Teleworking</t>
  </si>
  <si>
    <t>A.11.7.1  Mobile computing and communication</t>
  </si>
  <si>
    <t>A.11.7.2  Teleworking</t>
  </si>
  <si>
    <t>A.12  information systems acquisition, development and maintenance</t>
  </si>
  <si>
    <t>A.12.1  Security Requirements of Information Systems</t>
  </si>
  <si>
    <t>A.12.1.1  Security requirement analysis and specifications</t>
  </si>
  <si>
    <t xml:space="preserve">A.12.2  Correct Processing in Applications </t>
  </si>
  <si>
    <t>A.12.2.1  Input data validation</t>
  </si>
  <si>
    <t>A.12.2.2  Control of internal processing</t>
  </si>
  <si>
    <t>A.12.2.3  Message integrity</t>
  </si>
  <si>
    <t>A.12.2.4  Output data validation</t>
  </si>
  <si>
    <t>A.12.3  Cryptographic controls</t>
  </si>
  <si>
    <t>A.12.3.1  Policy on the use of cryptographic controls</t>
  </si>
  <si>
    <t>A.12.3.2  Key Management</t>
  </si>
  <si>
    <t>A.12.4  Security of System Files</t>
  </si>
  <si>
    <t>A.12.4.1  Control of Operational software</t>
  </si>
  <si>
    <t>A.12.4.2  Protection of system test data</t>
  </si>
  <si>
    <t>A.12.4.3  Access control to program source library</t>
  </si>
  <si>
    <t>A.12.5  Security in Development &amp; Support Processes</t>
  </si>
  <si>
    <t>A.12.5.1  Change Control Procedures</t>
  </si>
  <si>
    <t>A.12.5.2  Technical review of applications after Operating system changes</t>
  </si>
  <si>
    <t>A.12.5.3  Restrictions on changes to software packages</t>
  </si>
  <si>
    <t>A.12.5.4  nformation Leakage</t>
  </si>
  <si>
    <t>A.12.5.5  Outsourced Software Development</t>
  </si>
  <si>
    <t>A.12.6  Technical Vulnerability Management</t>
  </si>
  <si>
    <t>A.12.6.1  Control of technical vulnerabilities</t>
  </si>
  <si>
    <t>A.13   Information security incident management</t>
  </si>
  <si>
    <t>A.13.1  Reporting Information Security Events and Weaknesses</t>
  </si>
  <si>
    <t>A.13.1.1  Reporting Information security events</t>
  </si>
  <si>
    <t>A.13.1.2  Reporting security weaknesses</t>
  </si>
  <si>
    <t>A.13.2  Management of Information Security Incidents and Improvements</t>
  </si>
  <si>
    <t>A.13.2.1  Responsibilities and Procedures</t>
  </si>
  <si>
    <t>A.13.2.2  Learning for Information security incidents</t>
  </si>
  <si>
    <t>A.13.2.3  Collection of evidence</t>
  </si>
  <si>
    <t>A.14   Business continuity management</t>
  </si>
  <si>
    <t>A.14.1  Information Security Aspects of Business Continuity Management</t>
  </si>
  <si>
    <t>A.14.1.1  Including Information Security in Business continuity management process</t>
  </si>
  <si>
    <t>A.14.1.2  Business continuity and Risk Assessment</t>
  </si>
  <si>
    <t>A.14.1.3  Developing and implementing continuity plans including information security</t>
  </si>
  <si>
    <t>A.14.1.4  Business continuity planning framework</t>
  </si>
  <si>
    <t>A.14.1.5  Testing, maintaining and re-assessing business continuity plans</t>
  </si>
  <si>
    <t>A.15   Compliance</t>
  </si>
  <si>
    <t>A.15.1 Compliance with Legal Requirements</t>
  </si>
  <si>
    <t>A.15.1.1  Identification of applicable legislations</t>
  </si>
  <si>
    <t>A.15.1.2  Intellectual Property Rights ( IPR)</t>
  </si>
  <si>
    <t>A.15.1.3  Protection of organizational records</t>
  </si>
  <si>
    <t>A.15.1.4  Data Protection and privacy of personal information</t>
  </si>
  <si>
    <t>A.15.1.5  Prevention of misuse of information processing facilities</t>
  </si>
  <si>
    <t>A.15.1.6  Regulation of cryptographic controls</t>
  </si>
  <si>
    <t>A.15.2  Compliance with Security Policies and Standards and Technical compliance</t>
  </si>
  <si>
    <t>A.15.2.1  Compliance with security policy</t>
  </si>
  <si>
    <t>A.15.2.2  Technical compliance checking</t>
  </si>
  <si>
    <t>A.15.3  Information System Audit Considerations</t>
  </si>
  <si>
    <t>A.15.3.1  Information System Audit controls</t>
  </si>
  <si>
    <t>A.15.3.2  Protection of information system audit tools</t>
  </si>
  <si>
    <t>Availability Matrix</t>
  </si>
  <si>
    <t>Criteria: Business Critical</t>
  </si>
  <si>
    <t>Criteria: Number of Users</t>
  </si>
  <si>
    <t>Very high</t>
  </si>
  <si>
    <t>High</t>
  </si>
  <si>
    <t>Medium</t>
  </si>
  <si>
    <t>Low</t>
  </si>
  <si>
    <t>Very low</t>
  </si>
  <si>
    <t>Low to Medium</t>
  </si>
  <si>
    <t>Integrity Matrix</t>
  </si>
  <si>
    <t>Criteria: Financially Material</t>
  </si>
  <si>
    <t>Confidentiality Matrix</t>
  </si>
  <si>
    <t>Criteria: Data Classification</t>
  </si>
  <si>
    <t>Criteria: Legal or Regulatory</t>
  </si>
  <si>
    <t>Criteria: Number of Records</t>
  </si>
  <si>
    <t>Yes</t>
  </si>
  <si>
    <t>Non-confidential / Public</t>
  </si>
  <si>
    <t>Low to High</t>
  </si>
  <si>
    <t>The following is a list of threats. This list is not final. Risks may change over time. Each organization may add situation-specific threats.</t>
  </si>
  <si>
    <t>HFM</t>
  </si>
  <si>
    <t>FAM</t>
  </si>
  <si>
    <t>Internal</t>
  </si>
  <si>
    <t>Asset name 
Asset type</t>
  </si>
  <si>
    <t>Rating Score</t>
  </si>
  <si>
    <t>Qualitative Rating</t>
  </si>
  <si>
    <t>Adversary is almost certain to initiate the threat event.</t>
  </si>
  <si>
    <t>Description (Adversarial)</t>
  </si>
  <si>
    <t>Description (Non-Adversarial)</t>
  </si>
  <si>
    <t>Adversary is highly likely to initiate the threat event.</t>
  </si>
  <si>
    <t>Adversary is somewhat likely to initiate the treat event.</t>
  </si>
  <si>
    <t>Adversary is unlikely to initiate the threat event.</t>
  </si>
  <si>
    <t>Adversary is highly unlikely to initiate the threat event.</t>
  </si>
  <si>
    <t>Error, accident, or act of nature is almost certain to occur; or occurs more than 100 times a year.</t>
  </si>
  <si>
    <t>Error, accident, or act of nature is highly likely to occur; or occurs between 10-100 times a year.</t>
  </si>
  <si>
    <t>Error, accident, or act of nature is somewhat likely to occur; or occurs between 1-10 times a year.</t>
  </si>
  <si>
    <t>Error, accident, or act of nature is unlikely to occur; or occurs less than once a year, but more than once every 10 years.</t>
  </si>
  <si>
    <t>Error, accident, or act of nature is highly unlikely to occur; or occurs less than once every 10 years.</t>
  </si>
  <si>
    <t>NA</t>
  </si>
  <si>
    <t>Description</t>
  </si>
  <si>
    <t>Spill sensitive information</t>
  </si>
  <si>
    <t>Mishandling of critical and/or sensitive information by authorized users</t>
  </si>
  <si>
    <t>Incorrect privilege settings</t>
  </si>
  <si>
    <t>Communications contention</t>
  </si>
  <si>
    <t>Unreadable display</t>
  </si>
  <si>
    <t>Earthquake at primary facility</t>
  </si>
  <si>
    <t>Fire at primary facility</t>
  </si>
  <si>
    <t>Fire at backup facility</t>
  </si>
  <si>
    <t>Resource depletion</t>
  </si>
  <si>
    <t>Introduction of vulnerabilities into software products</t>
  </si>
  <si>
    <t>Disk error</t>
  </si>
  <si>
    <t>Pervasive disk error</t>
  </si>
  <si>
    <t>Perform perimeter network reconnaissance/scanning</t>
  </si>
  <si>
    <t>A</t>
  </si>
  <si>
    <t>Perform network sniffing of exposed networks</t>
  </si>
  <si>
    <t>Gather information using open source discovery of organizational information</t>
  </si>
  <si>
    <t>Perform reconnaissance and surveillance of targeted organizations</t>
  </si>
  <si>
    <t>Perform malware-directed internal reconnaissance</t>
  </si>
  <si>
    <t>Craft phishing attacks</t>
  </si>
  <si>
    <t>Craft spear phishing attacks</t>
  </si>
  <si>
    <t>Craft attacks specifically based on deployed information technology environment</t>
  </si>
  <si>
    <t>Create counterfeit/spoof website</t>
  </si>
  <si>
    <t>Craft counterfeit certificates</t>
  </si>
  <si>
    <t>Create and operate false front organizations to inject malicious components into the supply chain</t>
  </si>
  <si>
    <t>Deliver known malware to internal organizational information systems (e.g., virus via email)</t>
  </si>
  <si>
    <t>Deliver modified malware to internal organizational information systems</t>
  </si>
  <si>
    <t>Deliver targeted malware for control of internal systems and exfiltration of data</t>
  </si>
  <si>
    <t>Deliver malware by providing removable media</t>
  </si>
  <si>
    <t>Insert untargeted malware into downloadable software and/or into commercial information technology products</t>
  </si>
  <si>
    <t>Insert targeted malware into organizational information systems and information system components</t>
  </si>
  <si>
    <t>Insert specialized malware into organizational information systems based on system configurations</t>
  </si>
  <si>
    <t>Insert counterfeit or tampered hardware into the supply chain</t>
  </si>
  <si>
    <t>Insert tampered critical components into organizational systems</t>
  </si>
  <si>
    <t>Install general-purpose sniffers on organization-controlled information systems or networks</t>
  </si>
  <si>
    <t>Install persistent and targeted sniffers on organizational information systems and networks</t>
  </si>
  <si>
    <t>Insert malicious scanning devices (e.g., wireless sniffers) inside facilities</t>
  </si>
  <si>
    <t>Insert subverted individuals into organizations</t>
  </si>
  <si>
    <t>Insert subverted individuals into privileged positions in organizations</t>
  </si>
  <si>
    <t>Exploit physical access of authorized staff to gain access to organizational facilities</t>
  </si>
  <si>
    <t>Exploit poorly configured or unauthorized information systems exposed to the Internet</t>
  </si>
  <si>
    <t>Exploit split tunneling</t>
  </si>
  <si>
    <t>Exploit multi-tenancy in a cloud environment</t>
  </si>
  <si>
    <t>Exploit known vulnerabilities in mobile systems (e.g., laptops, PDAs, smart phones)</t>
  </si>
  <si>
    <t>Exploit recently discovered vulnerabilities</t>
  </si>
  <si>
    <t>Exploit vulnerabilities on internal organizational information systems</t>
  </si>
  <si>
    <t>Exploit vulnerabilities using zero-day attacks</t>
  </si>
  <si>
    <t>Exploit vulnerabilities in information systems timed with organizational mission/business operations tempo</t>
  </si>
  <si>
    <t>Exploit insecure or incomplete data deletion in multi-tenant environment</t>
  </si>
  <si>
    <t>Violate isolation in multi-tenant environment</t>
  </si>
  <si>
    <t>Compromise critical information systems via physical access</t>
  </si>
  <si>
    <t>Compromise information systems or devices used externally and reintroduced into the enterprise</t>
  </si>
  <si>
    <t>Compromise software of organizational critical information systems</t>
  </si>
  <si>
    <t>Compromise organizational information systems to facilitate exfiltration of data/information</t>
  </si>
  <si>
    <t>Compromise mission-critical information</t>
  </si>
  <si>
    <t>Compromise design, manufacture, and/or distribution of information system components (including hardware, software, and firmware)</t>
  </si>
  <si>
    <t>Conduct communications interception attacks</t>
  </si>
  <si>
    <t>Conduct wireless jamming attacks</t>
  </si>
  <si>
    <t>Conduct attacks using unauthorized ports, protocols and services</t>
  </si>
  <si>
    <t>Conduct attacks leveraging traffic/data movement allowed across perimeter</t>
  </si>
  <si>
    <t>Conduct simple Denial of Service (DoS) attack</t>
  </si>
  <si>
    <t>Conduct Distributed Denial of Service (DDoS) attacks</t>
  </si>
  <si>
    <t>Conduct targeted Denial of Service (DoS) attacks</t>
  </si>
  <si>
    <t>Conduct physical attacks on organizational facilities</t>
  </si>
  <si>
    <t>Conduct physical attacks on infrastructures supporting organizational facilities</t>
  </si>
  <si>
    <t>Conduct cyber-physical attacks on organizational facilities</t>
  </si>
  <si>
    <t>Conduct data scavenging attacks in a cloud environment</t>
  </si>
  <si>
    <t>Conduct brute force login attempts/password guessing attacks</t>
  </si>
  <si>
    <t>Conduct nontargeted zero-day attacks</t>
  </si>
  <si>
    <t>Conduct externally-based session hijacking</t>
  </si>
  <si>
    <t>Conduct internally-based session hijacking</t>
  </si>
  <si>
    <t>Conduct externally-based network traffic modification (man in the middle) attacks</t>
  </si>
  <si>
    <t>Conduct internally-based network traffic modification (man in the middle) attacks</t>
  </si>
  <si>
    <t>Conduct outsider-based social engineering to obtain information</t>
  </si>
  <si>
    <t>Conduct insider-based social engineering to obtain information</t>
  </si>
  <si>
    <t>Conduct attacks targeting and compromising personal devices of critical employees</t>
  </si>
  <si>
    <t>Conduct supply chain attacks targeting and exploiting critical hardware, software, or firmware</t>
  </si>
  <si>
    <t>Obtain sensitive information through network sniffing of external networks</t>
  </si>
  <si>
    <t>Obtain sensitive information via exfiltration</t>
  </si>
  <si>
    <t>Cause degradation or denial of attacker-selected services or capabilities</t>
  </si>
  <si>
    <t>Cause deterioration/destruction of critical information system components and functions</t>
  </si>
  <si>
    <t>Cause integrity loss by creating, deleting, and/or modifying data on publicly accessible information systems (e.g., web defacement)</t>
  </si>
  <si>
    <t>Cause integrity loss by polluting or corrupting critical data</t>
  </si>
  <si>
    <t>Cause integrity loss by injecting false but believable data into organizational information systems</t>
  </si>
  <si>
    <t>Cause disclosure of critical and/or sensitive information by authorized users</t>
  </si>
  <si>
    <t>Cause unauthorized disclosure and/or unavailability by spilling sensitive information</t>
  </si>
  <si>
    <t>Obtain information by externally located interception of wireless network traffic</t>
  </si>
  <si>
    <t>Obtain unauthorized access</t>
  </si>
  <si>
    <t>Obtain sensitive data/information from publicly accessible information systems</t>
  </si>
  <si>
    <t>Obtain information by opportunistically stealing or scavenging information systems/components</t>
  </si>
  <si>
    <t>Obfuscate adversary actions</t>
  </si>
  <si>
    <t>Adapt cyber attacks based on detailed surveillance</t>
  </si>
  <si>
    <t>Coordinate a campaign of multi-staged attacks (e.g., hopping)</t>
  </si>
  <si>
    <t>Coordinate a campaign that combines internal and external attacks across multiple information systems and information technologies</t>
  </si>
  <si>
    <t>Coordinate campaigns across multiple organizations to acquire specific information or achieve desired outcome</t>
  </si>
  <si>
    <t>Coordinate a campaign that spreads attacks across organizational systems from existing presence</t>
  </si>
  <si>
    <t>Coordinate a campaign of continuous, adaptive, and changing cyber attacks based on detailed surveillance</t>
  </si>
  <si>
    <t>Coordinate cyber attacks using external (outsider), internal (insider), and supply chain (supplier) attack vectors</t>
  </si>
  <si>
    <t>Confiden-tiality</t>
  </si>
  <si>
    <t>Integrity</t>
  </si>
  <si>
    <t>Email server</t>
  </si>
  <si>
    <t>Asset Name</t>
  </si>
  <si>
    <t>Email services and application</t>
  </si>
  <si>
    <t>Network attached storage</t>
  </si>
  <si>
    <t>Router</t>
  </si>
  <si>
    <t>Core router and internet connection</t>
  </si>
  <si>
    <t>Main firewall</t>
  </si>
  <si>
    <t>CCTV cameras</t>
  </si>
  <si>
    <t>CCTV surveillance IP cameras</t>
  </si>
  <si>
    <t>Business control system server</t>
  </si>
  <si>
    <t>Business control monitoring station (NOC)</t>
  </si>
  <si>
    <t>Department</t>
  </si>
  <si>
    <t>Document Title</t>
  </si>
  <si>
    <t>Date</t>
  </si>
  <si>
    <t>Standard</t>
  </si>
  <si>
    <t>Availability</t>
  </si>
  <si>
    <t>Confidential information will available to unauthorized persons
Email records or data may be modified (loss of data integrity)
Email application service and database may be disrupted (unavailable)</t>
  </si>
  <si>
    <t>Regular maintenance on essential IT and technology equipment.
Implement ICT DR server for email.</t>
  </si>
  <si>
    <t>Anti-virus installed and regular updates for virus signatures and application upgrades.</t>
  </si>
  <si>
    <t>Computer server rooms have adequate air-conditioning units operating 24/7 daily.</t>
  </si>
  <si>
    <t>Ensure server rooms do not have water pipes running through or near by.</t>
  </si>
  <si>
    <t>Power supply to racks are supplied by circuits with industially proven power stabilizers and controllers.</t>
  </si>
  <si>
    <t>fire protection according to FSB requirements; fire extinguishers and hose reels are placed in selected areas.
Servers in the data centre are protected by gas and water fire suppression protection systems.</t>
  </si>
  <si>
    <t>Building electrical power supply system and sources are reliable.
Data centre also has backup generator and UPS systems to prevent blackouts.</t>
  </si>
  <si>
    <t>Adequate IS policy, procedures and controls are implemented.
Only pre-authorised technicians, engineers and other staff will be granted access to sensitive areas.</t>
  </si>
  <si>
    <r>
      <t xml:space="preserve">Adequate IS policy, procedures and controls are implemented </t>
    </r>
    <r>
      <rPr>
        <sz val="11"/>
        <rFont val="Calibri"/>
        <family val="2"/>
      </rPr>
      <t>– staff will be trained be made more aware of IS and cyberattacks.</t>
    </r>
  </si>
  <si>
    <t>email records may be lost or corrupted</t>
  </si>
  <si>
    <t>Storage for email records use RAID.
Users are required to save critical information and files in the department shared folders.</t>
  </si>
  <si>
    <t>Confidential information will available to unauthorized persons.
Email records or data may be modified (loss of data integrity).
Information obtained may be used to commit fraud or crimes.
Stolen intellectual property may be used against the company or disadvantage the company in business deals.</t>
  </si>
  <si>
    <t>Confidential information and intellectual property transmitted file attachments in emails will be encrypted using standard zip tools with passwords; which will be transmitted separately.</t>
  </si>
  <si>
    <t>Sensitive information about the facilities will be available to unauthorized persons.
Performance or status of fixed and movable assets may be modified.
Hackers may seize control of critical fixed and movable assets connected to the BMS.
The system configuration and database may also be damaged or destroyed (loss).</t>
  </si>
  <si>
    <t>Adequate air-conditioning units operates 24/7 daily to provide optimum operating temperatures.</t>
  </si>
  <si>
    <t>Power supply to racks are supplied by circuits with industrially proven power stabilizers and controllers.</t>
  </si>
  <si>
    <t>Fire protection according to FSB requirements; fire extinguishers and hose reels are placed in common areas.
Servers in the data centre are protected by gas and water fire suppression protection systems.</t>
  </si>
  <si>
    <t>BMS is configured only to monitor the performance of the assets.
Staff and vendors using the BMS are pre-authorised and trained.</t>
  </si>
  <si>
    <t>Regular maintenance is carried out on the BMS server.</t>
  </si>
  <si>
    <t>BMS server is located in the NER; i.e. no piping inside or around the area.</t>
  </si>
  <si>
    <t>Regular maintenance is carried out on the BMS PC.</t>
  </si>
  <si>
    <t>BMS PC is located in the NOC; i.e. no piping inside or around the area.</t>
  </si>
  <si>
    <t>Staff</t>
  </si>
  <si>
    <t>Desktop or notebook PCs for office administration</t>
  </si>
  <si>
    <t>Updates and patches are tested by pre-authorised technicians or engineers.
These are applied only after they are tested in the vendors' test environment.</t>
  </si>
  <si>
    <t>Critical updates and patches are tested by the vendor; then they are applied to Dodid's email server.</t>
  </si>
  <si>
    <t xml:space="preserve">Anti-virus installed and regular updates for virus signatures and application upgrades.
BMS servers and PCs run on a separate network; that is not connected to the corporate (or office administration) LAN, and internet.
</t>
  </si>
  <si>
    <t>Anti-virus installed and regular updates for virus signatures and application upgrades.
BMS servers and PCs are connected via a dedicated network; that is not connected to the corporate (or office administration) LAN, and internet.</t>
  </si>
  <si>
    <t>Regular maintenance on PCs.</t>
  </si>
  <si>
    <t>Offices for staff are not located near or under any water pipes.</t>
  </si>
  <si>
    <t>Confidential information will available to unauthorized persons.
Integrity of confidential information and intellectual property may be compromised.</t>
  </si>
  <si>
    <t>Application and system updates are tested separately before they are rolled out to staff.</t>
  </si>
  <si>
    <t>fire protection according to FSB requirements; fire extinguishers and hose reels are placed in selected areas.</t>
  </si>
  <si>
    <t>Building electrical power supply system and sources are reliable.</t>
  </si>
  <si>
    <t>Conduct appropriate IS training sessions to improve IS awareness and cultivate good IS practices.</t>
  </si>
  <si>
    <t>Increase IS awareness and good pratices; like using standard zip tools with passwords to encrpyt confidential information and intellectual property transmitted file attachments in emails, and transmit passwords separately.</t>
  </si>
  <si>
    <t>Firewall firmware updates and patches are tested separately at the vendor's test environment before they are installed in Dodid.</t>
  </si>
  <si>
    <t>Regular maintenance for firewall hardware and software.</t>
  </si>
  <si>
    <t>Firewall is not located near or under any water pipes.</t>
  </si>
  <si>
    <t>Firewall is located in server rooms which have adequate air-conditioning units operating 24/7 daily.</t>
  </si>
  <si>
    <t>Experienced and qualified cyber specialists are carefully selected and engaged to conduct this test.</t>
  </si>
  <si>
    <t>Patches and updates for firwall are tested in the vendor's test lab before they are rolled out to Dodid.</t>
  </si>
  <si>
    <t>Vendor's engineers and technicians are  carefully selected and pre-authorised to work in sensitive areas within Dodid.</t>
  </si>
  <si>
    <t>Firmware updates and patches are tested separately at the vendor's test environment before they are installed in Dodid.</t>
  </si>
  <si>
    <t>Device is not located near or under any water pipes.</t>
  </si>
  <si>
    <t>Device is located in server rooms which have adequate air-conditioning units operating 24/7 daily.</t>
  </si>
  <si>
    <t>Regular maintenance for device hardware and software.</t>
  </si>
  <si>
    <t>Patches and updates for device are tested in the vendor's test lab before they are rolled out to Dodid.</t>
  </si>
  <si>
    <t>Firmware, system software and application updates and patches are tested separately at the vendor's test environment before they are installed in Dodid.</t>
  </si>
  <si>
    <t>System is not located near or under any water pipes.</t>
  </si>
  <si>
    <t>System is located in NER rooms which have adequate air-conditioning units operating 24/7 daily.</t>
  </si>
  <si>
    <t>NOC staff and vendors are received appropriate training and certification before they are authorised to work on the system</t>
  </si>
  <si>
    <t>Train staff to improve IS awareness and cultivate good international IS practices.</t>
  </si>
  <si>
    <t xml:space="preserve">POE Switch for CCTV Camera and Card Acess </t>
  </si>
  <si>
    <t xml:space="preserve">Core Switch for CCTV Camera and Card Acess </t>
  </si>
  <si>
    <t>CCTV Recording Storage</t>
  </si>
  <si>
    <t>Guard Tour Workstation</t>
  </si>
  <si>
    <t>Chiller System Server</t>
  </si>
  <si>
    <t>Chiller System BMS Workstation</t>
  </si>
  <si>
    <t>UPS Battery Monitoring System</t>
  </si>
  <si>
    <t>Fire Alarm Monitoring System</t>
  </si>
  <si>
    <t>CMMS Work Station</t>
  </si>
  <si>
    <t>Shift Tech Common PC</t>
  </si>
  <si>
    <t>Call Center PC</t>
  </si>
  <si>
    <t>Office Work PC</t>
  </si>
  <si>
    <t>Call Center Recording</t>
  </si>
  <si>
    <t>ACS and CCTV Workstation</t>
  </si>
  <si>
    <t>ACS Card Access  Printing</t>
  </si>
  <si>
    <t>EVMS Workstation</t>
  </si>
  <si>
    <t>ACS-CCTV server</t>
  </si>
  <si>
    <t>Security access control &amp; CCTV system (server)</t>
  </si>
  <si>
    <t>Security access control &amp; CCTV system workstations</t>
  </si>
  <si>
    <t>EVMS server</t>
  </si>
  <si>
    <t>Visitor control system</t>
  </si>
  <si>
    <t>ACS-CCTV POE switch</t>
  </si>
  <si>
    <t>ACS-CCTV core switch</t>
  </si>
  <si>
    <t>CCTV recording storage</t>
  </si>
  <si>
    <t>BMS main server</t>
  </si>
  <si>
    <t>BMS workstation</t>
  </si>
  <si>
    <t>Confidential CCTV clips may be available to unauthorized persons.
Integrity of confidential information and intellectual property may be compromised.</t>
  </si>
  <si>
    <t>Visitors' confidential information will available to unauthorized persons.
Integrity of confidential information and intellectual property may be compromised.</t>
  </si>
  <si>
    <t xml:space="preserve">Integrity of critical  system configuration may be compromised. </t>
  </si>
  <si>
    <t>Integrity of critical  system configuration may be compromised. 
Confidential live video feeds may be compromised</t>
  </si>
  <si>
    <t xml:space="preserve">Sensitive access control data will be available to unauthorized persons.
Unauthorised entry may allow saboteurs gain access to critical areas, fixed and movable asset.
The integrity of the ACS-CCTV systems will be compromised.
</t>
  </si>
  <si>
    <t>Card printing may fail or print with errors</t>
  </si>
  <si>
    <t>Sensitive business information and data may be illegally accessed, stolen or deleted</t>
  </si>
  <si>
    <t>Sensitive business information and configuration data may be illegally accessed, stolen or deleted</t>
  </si>
  <si>
    <t>Sensitive and configuration data may be illegally accessed, stolen or deleted</t>
  </si>
  <si>
    <t>Row No.</t>
  </si>
  <si>
    <r>
      <rPr>
        <b/>
        <sz val="12"/>
        <color indexed="8"/>
        <rFont val="Calibri"/>
        <family val="2"/>
      </rPr>
      <t>Risk treatment options</t>
    </r>
  </si>
  <si>
    <t>Risk Treatment Plan</t>
  </si>
  <si>
    <t>Selection of options</t>
  </si>
  <si>
    <t>Implementation approach</t>
  </si>
  <si>
    <t>By Whom</t>
  </si>
  <si>
    <t>Next Follow-up date</t>
  </si>
  <si>
    <t>Conduct VAPT; determine and close weaknesses (if any)</t>
  </si>
  <si>
    <t>Status</t>
  </si>
  <si>
    <t>RTP status</t>
  </si>
  <si>
    <t>WIP</t>
  </si>
  <si>
    <t>Feasibility study</t>
  </si>
  <si>
    <t>Approved</t>
  </si>
  <si>
    <t>Pending approval</t>
  </si>
  <si>
    <t>Secure Development Policy (ISMS-07)</t>
  </si>
  <si>
    <t>Selection of controls</t>
  </si>
  <si>
    <t>Transfer of risks to a third party</t>
  </si>
  <si>
    <t>Risk avoidance</t>
  </si>
  <si>
    <t>Risk acceptance</t>
  </si>
  <si>
    <t>Operating Procedures for Information and Communication Technology (ISMS-14)</t>
  </si>
  <si>
    <t>Risk Assessment and Treatment Methodology (ISMS-02)</t>
  </si>
  <si>
    <t>Implemented</t>
  </si>
  <si>
    <t>Annual review</t>
  </si>
  <si>
    <t>Monitor</t>
  </si>
  <si>
    <t>Information Security Policy (ISMS-01)</t>
  </si>
  <si>
    <t>Supplier Security Policy (ISMS-08)</t>
  </si>
  <si>
    <t>Policy on the Use of Cryptographic Controls (ISMS-09)</t>
  </si>
  <si>
    <t>Procedures for Working in Secure Areas (ISMS-12)</t>
  </si>
  <si>
    <t>Determine and "plug" weaknesses via VAPT</t>
  </si>
  <si>
    <t>VAPT will be conducted to determine gaps, and identify actions to plug weaknesses</t>
  </si>
  <si>
    <t>Establish plan before conducting VAPT</t>
  </si>
  <si>
    <t>VAPT plan needs to be approved before test is conducted</t>
  </si>
  <si>
    <t>Risk No.</t>
  </si>
  <si>
    <t>ISMS Risk Assessment &amp; Treatment Plan</t>
  </si>
  <si>
    <t>CEO</t>
  </si>
  <si>
    <t>Company</t>
  </si>
  <si>
    <t>Address</t>
  </si>
  <si>
    <t>ISO27001</t>
  </si>
  <si>
    <t>Prepared by</t>
  </si>
  <si>
    <t>Approved by</t>
  </si>
  <si>
    <t>Very Low</t>
  </si>
  <si>
    <t>Moderate</t>
  </si>
  <si>
    <t>Very High</t>
  </si>
  <si>
    <t>Catastrophic</t>
  </si>
  <si>
    <t>Severe</t>
  </si>
  <si>
    <t>Negligible</t>
  </si>
  <si>
    <t>Risk Assessment</t>
  </si>
  <si>
    <t>Paper-based documents</t>
  </si>
  <si>
    <t>Physical documents</t>
  </si>
  <si>
    <t>Digitized documents</t>
  </si>
  <si>
    <t>Electronic documents</t>
  </si>
  <si>
    <t>Employees</t>
  </si>
  <si>
    <t>Dodid employees</t>
  </si>
  <si>
    <t>Contractor staff</t>
  </si>
  <si>
    <t>Employees from M7 and other vendors or suppliers</t>
  </si>
  <si>
    <t>Software applications</t>
  </si>
  <si>
    <t>Database files and records</t>
  </si>
  <si>
    <t>Infrastructure</t>
  </si>
  <si>
    <t>Other facilities (not listed in this table)</t>
  </si>
  <si>
    <t>Outsourced processes &amp; services</t>
  </si>
  <si>
    <t>Include M7 shared services support staff; vendor staff</t>
  </si>
  <si>
    <t>HR employee policy and guidelines</t>
  </si>
  <si>
    <t>Employee on-boarding training and briefing.
Requirement for confidential and important documents and files to be stored properly.
Clean desk policies are enforced.</t>
  </si>
  <si>
    <t>Physical access is granted based on an as needed least privileged access rights.
Visitors are required to register via the EVMS, and only authorized visitors will be granted access.
Security officers will issue appropriate passes after a security check.</t>
  </si>
  <si>
    <t>All important information, documents and application forms will be reviewed and approved by management</t>
  </si>
  <si>
    <t>Procedures for Document and Record Control (ISMS-03)</t>
  </si>
  <si>
    <t>Contractor stafff on-boarding training and briefing.
Standard operation procedures for maintenance.</t>
  </si>
  <si>
    <t>All relevant SOPs for maintenance</t>
  </si>
  <si>
    <t>New and update versions of software will be tested before "go-live"</t>
  </si>
  <si>
    <t>Vendor staff is granted access to secure areas and systems based on an as needed least privileged access rights.</t>
  </si>
  <si>
    <t>Only software approved by management for official use will be installed in the relevant PCs and laptops</t>
  </si>
  <si>
    <t>Access rights to operating system, network and software applications are granted based on least privileged access rights.
Servers and PCs are protected by antivirus and antimalware software.</t>
  </si>
  <si>
    <t>Vendor's engineers and technicians are  carefully selected and pre-authorised to work in sensitive areas within Dodid.
Installation of new and upgrade software will be pre-authorized and supervised by Dodid.</t>
  </si>
  <si>
    <t xml:space="preserve">Only officially approved software will be installed and used.
Use standard tools like MS Office.
Staff who use specialized software (e.g. accounting and ACAD) will be familiarized with the package. </t>
  </si>
  <si>
    <t>Access to critical files, shared directory and databases are granted based on least privileged access rights.</t>
  </si>
  <si>
    <t>Critical files, shared directories and databases are protected by access rights granted on a least privileged use basis, and encrypted (e.g. password protected), whenever appropriate.</t>
  </si>
  <si>
    <t>All staff are trained and brief the proper use of computer and internet.</t>
  </si>
  <si>
    <t>The facilities is designed and build taking into consideration the findings and recommendations fro the technical security vulnerability assessment.
Standard operating procedures for security and operations are enforced.
Access to the facilities are granted based on least privileged access rights.
Visitors are required to pre-register via the EVMS, and entry will be granted only for visitors approved by management.</t>
  </si>
  <si>
    <t>All work tasks in the facilities require an application form specifying the detail work and supporting information; which shall be pre-approved by management.
Only vendor staff qualified by Dodid will be permitted to carry out any works in the facilities.</t>
  </si>
  <si>
    <t>All relevant facilities management and security operating procedures</t>
  </si>
  <si>
    <t>The service level agreements with each service provider includes the specifications for processes, procedures and key performance indices (KPIs) - which shall be met.</t>
  </si>
  <si>
    <t>Physical and logical access is restricted and granted on a least privileged access rights basis.</t>
  </si>
  <si>
    <t>Lim Sek Seong &amp; Daniel Lim</t>
  </si>
  <si>
    <t>Classification</t>
  </si>
  <si>
    <t>Doc. No.</t>
  </si>
  <si>
    <t>Rev. No.</t>
  </si>
  <si>
    <t>PD</t>
  </si>
  <si>
    <t>Project Manager</t>
  </si>
  <si>
    <t>PM</t>
  </si>
  <si>
    <t>All employees or staff</t>
  </si>
  <si>
    <t>ASP</t>
  </si>
  <si>
    <t>Email server (service)</t>
  </si>
  <si>
    <t>Printer (USB)</t>
  </si>
  <si>
    <t>Printer (OA)</t>
  </si>
  <si>
    <t>LAN switches (OA)</t>
  </si>
  <si>
    <t>LAN switches (external)</t>
  </si>
  <si>
    <t>Router-Firewall (OA)</t>
  </si>
  <si>
    <t>Router-Firewall (external)</t>
  </si>
  <si>
    <t>IP/Web cams (external)</t>
  </si>
  <si>
    <t>IP/Web cams (OA)</t>
  </si>
  <si>
    <t>Scanners (hendheld)</t>
  </si>
  <si>
    <t>Scanners (desktop)</t>
  </si>
  <si>
    <t>Laptop PCs (external)</t>
  </si>
  <si>
    <t>PCs (OA)</t>
  </si>
  <si>
    <t>Portable HDD</t>
  </si>
  <si>
    <t>NAS (OA)</t>
  </si>
  <si>
    <t>Router-Firewall (OA Guest)</t>
  </si>
  <si>
    <t>CCTV server</t>
  </si>
  <si>
    <t>CCTV core switch</t>
  </si>
  <si>
    <t>ERP service</t>
  </si>
  <si>
    <t>eCom service</t>
  </si>
  <si>
    <t>BLS registration system</t>
  </si>
  <si>
    <t>Office 365</t>
  </si>
  <si>
    <t>Office 365 software subscription service</t>
  </si>
  <si>
    <t>MS Office Suite</t>
  </si>
  <si>
    <t>MS SQL server software (2000, 2017)</t>
  </si>
  <si>
    <t>MS SQL server</t>
  </si>
  <si>
    <t>MS Windows server</t>
  </si>
  <si>
    <t>MS Windows server software (2003, 2012, 2016)</t>
  </si>
  <si>
    <t>VB software</t>
  </si>
  <si>
    <t>Adobe software</t>
  </si>
  <si>
    <t>Corel software</t>
  </si>
  <si>
    <t>AV (PCs)</t>
  </si>
  <si>
    <t>Web hosting service</t>
  </si>
  <si>
    <t>Web page server hosting service</t>
  </si>
  <si>
    <t>Anti-virus installed and regular updates for virus signatures and application upgrades.
PCs are connected via a dedicated OA network.
Users working externally will connect using VPN and https services.
Users and administrators (including service provider support staff) access are granted based on least privileged use policy and procedures.</t>
  </si>
  <si>
    <t>Regular maintenance is carried out on the server hardware and operating system.</t>
  </si>
  <si>
    <t>Server is located in a secure third party data centre; i.e. no piping inside or around the area.</t>
  </si>
  <si>
    <t>Critical updates and patches are tested by the vendor; then they are applied to the email server.</t>
  </si>
  <si>
    <t>Ensure server rooms do not have water pipes running through or near by the server room; except fire protection system that is approved for data centre operations.</t>
  </si>
  <si>
    <t>Power supply to racks are supplied by circuits with power stabilizers and controllers that are suitable to support data centre electrical power systems.</t>
  </si>
  <si>
    <t>Fire protection systems are implemented and maintained according to FSB requirements; including placement of fire extinguishers and hose reels in selected areas.
Servers in the data centre are protected by gas and water fire suppression protection systems.</t>
  </si>
  <si>
    <t>Sensitive information about the business will be available to unauthorized persons.
Customer and transaction records and data may be lost or leaked.
Hackers may seize control of the server system or data records, and use it to commit computer fraud or crime.
The system configuration and database may also be damaged or destroyed (loss).</t>
  </si>
  <si>
    <t>Power supply to racks are supplied by circuits with appropriate power stabilizers and controllers; that are suitable for use in data centre electrical power supply systems.</t>
  </si>
  <si>
    <t>Fire protection systems are implemented and maintained according to FSB requirements; fire extinguishers and hose reels are placed in common areas.
Servers in the data centre are protected by gas and water fire suppression protection systems.</t>
  </si>
  <si>
    <t>Sensitive information will be available or accessible to unauthorized persons.
Hackers may seize control of confidential data and information; using it to commit fraud and crimes.
The system configuration and database may also be damaged or destroyed (loss).</t>
  </si>
  <si>
    <t>Anti-virus installed and regular updates for virus signatures and application upgrades.
The server hardware is housed in an external data centre with access restricted to authorized personnel from the service provider, and data centre facilities operation staff.</t>
  </si>
  <si>
    <t>Regular maintenance is carried out on the server hardware, operating system software, and application software. Preventive and corrective maintenance are carried out as per manufacturers' recommendations.</t>
  </si>
  <si>
    <r>
      <t>Server is housed in a 3</t>
    </r>
    <r>
      <rPr>
        <vertAlign val="superscript"/>
        <sz val="11"/>
        <rFont val="Calibri"/>
        <family val="2"/>
        <scheme val="minor"/>
      </rPr>
      <t>rd</t>
    </r>
    <r>
      <rPr>
        <sz val="11"/>
        <rFont val="Calibri"/>
        <family val="2"/>
        <scheme val="minor"/>
      </rPr>
      <t xml:space="preserve"> party data centre with adequate air quality and temperature control systems; which operates 24/7 daily to provide optimum operating temperatures.</t>
    </r>
  </si>
  <si>
    <r>
      <t>Server is located in a secure 3</t>
    </r>
    <r>
      <rPr>
        <vertAlign val="superscript"/>
        <sz val="11"/>
        <rFont val="Calibri"/>
        <family val="2"/>
        <scheme val="minor"/>
      </rPr>
      <t>rd</t>
    </r>
    <r>
      <rPr>
        <sz val="11"/>
        <rFont val="Calibri"/>
        <family val="2"/>
        <scheme val="minor"/>
      </rPr>
      <t xml:space="preserve"> party data centre; i.e. no piping inside or around the area.</t>
    </r>
  </si>
  <si>
    <t>Power supply to racks are supplied by circuits with power stabilizers and controllers.</t>
  </si>
  <si>
    <t>Building electrical power supply system and sources are reliable.
Data centre also has backup generator and UPS systems to prevent suddent power trips and blackouts.</t>
  </si>
  <si>
    <t>Logical and physical access to the server and network is restricted based on least privileged access needs. Unauthorised access is also prevented through anti virus and malware protection.</t>
  </si>
  <si>
    <t>Workstations for staff are not located near or under any water pipes.</t>
  </si>
  <si>
    <t xml:space="preserve">All laptop and desktop PCs function normally, and are prevented from overheating; as the cooling fans for each system is functioning properly.
In addition, the office room temperature is adequately maintained, and suitable for office work.  </t>
  </si>
  <si>
    <t>The electrical power circuits in the office are stable and suitable to support normal operations for office equipment.</t>
  </si>
  <si>
    <r>
      <t>Windows, 3</t>
    </r>
    <r>
      <rPr>
        <vertAlign val="superscript"/>
        <sz val="11"/>
        <rFont val="Calibri"/>
        <family val="2"/>
        <scheme val="minor"/>
      </rPr>
      <t>rd</t>
    </r>
    <r>
      <rPr>
        <sz val="11"/>
        <rFont val="Calibri"/>
        <family val="2"/>
        <scheme val="minor"/>
      </rPr>
      <t xml:space="preserve"> party application and registration application software updates are tested separately before the laptop PCs are deployed.</t>
    </r>
  </si>
  <si>
    <t>Workstations for laptops are not set up near or under any water pipes.</t>
  </si>
  <si>
    <t>The electrical power circuit in the events registration area is stable and suitable to support normal operations for office equipment.</t>
  </si>
  <si>
    <t>Events staff</t>
  </si>
  <si>
    <t>Vendor's engineers and technicians are  carefully selected and pre-authorised to work on the firewall.</t>
  </si>
  <si>
    <t>Firmware updates and patches are tested separately at the vendor's test environment before they are installed.</t>
  </si>
  <si>
    <t>Firewall firmware updates and patches are tested separately at the vendor's test environment before they are installed.</t>
  </si>
  <si>
    <t>Vendor's engineers and technicians are  carefully selected and pre-authorised to work in sensitive areas.</t>
  </si>
  <si>
    <t>Patches and updates for device are tested in the vendor's test lab before they are rolled out.</t>
  </si>
  <si>
    <t>Guest wifi will only route guest logins to internet</t>
  </si>
  <si>
    <t>Disc contents are regularly scanned and checked to be free of virus and malware.</t>
  </si>
  <si>
    <t>USB drives are stored by the respective staff at their workstations.</t>
  </si>
  <si>
    <t>Confidential information and data records may be lost (destroyed or damaged).</t>
  </si>
  <si>
    <t>Confidential data are kept the HOD and in the NAS.</t>
  </si>
  <si>
    <t>Anti-virus installed and regular updates for virus signatures and application upgrades.
Access to the server is restricted and granted based on least privilege use basis.</t>
  </si>
  <si>
    <t>Updates and patches are tested before they are applied deployed to all PCs.</t>
  </si>
  <si>
    <t>Other software applications</t>
  </si>
  <si>
    <t>Patches and updates for firwall are tested in the vendor's test lab before they are rolled out.</t>
  </si>
  <si>
    <t>Patches and updates for firewall are tested in the vendor's test lab before they are rolled out.</t>
  </si>
  <si>
    <t>Vendor's engineers and technicians are  carefully selected and pre-authorised to work in sensitive areas.
Installation of new and upgrade software will be pre-authorized and supervised.</t>
  </si>
  <si>
    <t>Agile Lab Pte Ltd</t>
  </si>
  <si>
    <t>Position (row) no.</t>
  </si>
  <si>
    <t>Adequate IS policy, procedures and controls are implemented – staff will be trained be made more aware of IS and cyberattacks.</t>
  </si>
  <si>
    <t>Employees' records</t>
  </si>
  <si>
    <t>Anti virus and malware software for Windows PC, MacBook and Mac Mini computer systems</t>
  </si>
  <si>
    <t>Printer: Brother (OA)</t>
  </si>
  <si>
    <t>Office administration printer (LAN connection)</t>
  </si>
  <si>
    <t>Modem (OA Guest)</t>
  </si>
  <si>
    <t>Singapore Telecommuications ADSL modem</t>
  </si>
  <si>
    <t xml:space="preserve">Computers </t>
  </si>
  <si>
    <t>Laptop or notebook PCs; desktop PCs; MacBook; Mac Mini: used in the office</t>
  </si>
  <si>
    <t>ZTE router device</t>
  </si>
  <si>
    <t>Computer monitor</t>
  </si>
  <si>
    <t>AsusTek VS278Q computer monitor</t>
  </si>
  <si>
    <t>Includes: Please list if applicable</t>
  </si>
  <si>
    <t>AV (computers)</t>
  </si>
  <si>
    <t>Technical Leader</t>
  </si>
  <si>
    <t>TL</t>
  </si>
  <si>
    <t>Software Engineer</t>
  </si>
  <si>
    <t>SE</t>
  </si>
  <si>
    <t>Devops System Administrator</t>
  </si>
  <si>
    <t>DSA</t>
  </si>
  <si>
    <t>Application developers</t>
  </si>
  <si>
    <t>AD</t>
  </si>
  <si>
    <t>Cloud storage</t>
  </si>
  <si>
    <t>Cloud storage (for individuals and workgroups)</t>
  </si>
  <si>
    <t>Mobile applications</t>
  </si>
  <si>
    <t>Mobile applications deployed for customers</t>
  </si>
  <si>
    <t>Cloud servers</t>
  </si>
  <si>
    <t>Cloud MS SQL server</t>
  </si>
  <si>
    <t>73 Ayer Rajah Crescent, #02-28, Singapore 139952</t>
  </si>
  <si>
    <t>Clause Numbers</t>
  </si>
  <si>
    <t>Remarks</t>
  </si>
  <si>
    <t>6.1.2</t>
  </si>
  <si>
    <t>Information security risk assessment</t>
  </si>
  <si>
    <t>6.1.3</t>
  </si>
  <si>
    <t>Information security risk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</si>
</sst>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64">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scheme val="minor"/>
    </font>
    <font>
      <sz val="11"/>
      <name val="Calibri"/>
      <family val="2"/>
      <scheme val="minor"/>
    </font>
    <font>
      <b/>
      <sz val="11"/>
      <name val="Calibri"/>
      <family val="2"/>
      <scheme val="minor"/>
    </font>
    <font>
      <b/>
      <sz val="11"/>
      <color theme="1"/>
      <name val="Calibri"/>
      <family val="2"/>
      <charset val="238"/>
      <scheme val="minor"/>
    </font>
    <font>
      <b/>
      <sz val="12"/>
      <color theme="1"/>
      <name val="Calibri"/>
      <family val="2"/>
      <scheme val="minor"/>
    </font>
    <font>
      <b/>
      <sz val="11"/>
      <color theme="1"/>
      <name val="Calibri"/>
      <family val="2"/>
      <scheme val="minor"/>
    </font>
    <font>
      <sz val="11"/>
      <color rgb="FFFF0000"/>
      <name val="Calibri"/>
      <family val="2"/>
      <charset val="238"/>
      <scheme val="minor"/>
    </font>
    <font>
      <b/>
      <sz val="12"/>
      <name val="Calibri"/>
      <family val="2"/>
      <scheme val="minor"/>
    </font>
    <font>
      <i/>
      <sz val="11"/>
      <name val="Calibri"/>
      <family val="2"/>
      <scheme val="minor"/>
    </font>
    <font>
      <b/>
      <sz val="12"/>
      <color indexed="8"/>
      <name val="Calibri"/>
      <family val="2"/>
    </font>
    <font>
      <sz val="11"/>
      <color indexed="8"/>
      <name val="Calibri"/>
      <family val="2"/>
    </font>
    <font>
      <sz val="11"/>
      <color indexed="8"/>
      <name val="新細明體"/>
      <family val="1"/>
      <charset val="136"/>
    </font>
    <font>
      <sz val="11"/>
      <color indexed="9"/>
      <name val="新細明體"/>
      <family val="1"/>
      <charset val="136"/>
    </font>
    <font>
      <b/>
      <sz val="11"/>
      <color indexed="52"/>
      <name val="Calibri"/>
      <family val="2"/>
    </font>
    <font>
      <sz val="10"/>
      <name val="Arial"/>
      <family val="2"/>
    </font>
    <font>
      <b/>
      <sz val="18"/>
      <color theme="3"/>
      <name val="Calibri"/>
      <family val="2"/>
      <scheme val="minor"/>
    </font>
    <font>
      <b/>
      <sz val="18"/>
      <color theme="0"/>
      <name val="Calibri"/>
      <family val="2"/>
      <scheme val="minor"/>
    </font>
    <font>
      <sz val="11"/>
      <color indexed="62"/>
      <name val="Calibri"/>
      <family val="2"/>
    </font>
    <font>
      <sz val="11"/>
      <color indexed="8"/>
      <name val="宋体"/>
      <charset val="134"/>
    </font>
    <font>
      <sz val="12"/>
      <name val="新細明體"/>
      <charset val="136"/>
    </font>
    <font>
      <sz val="12"/>
      <color theme="1"/>
      <name val="Calibri"/>
      <family val="2"/>
      <scheme val="minor"/>
    </font>
    <font>
      <b/>
      <sz val="11"/>
      <color indexed="63"/>
      <name val="Calibri"/>
      <family val="2"/>
    </font>
    <font>
      <b/>
      <sz val="11"/>
      <color indexed="8"/>
      <name val="Calibri"/>
      <family val="2"/>
    </font>
    <font>
      <sz val="12"/>
      <name val="新細明體"/>
      <family val="1"/>
      <charset val="136"/>
    </font>
    <font>
      <sz val="11"/>
      <color indexed="60"/>
      <name val="新細明體"/>
      <family val="1"/>
      <charset val="136"/>
    </font>
    <font>
      <b/>
      <sz val="11"/>
      <color indexed="8"/>
      <name val="新細明體"/>
      <family val="1"/>
      <charset val="136"/>
    </font>
    <font>
      <sz val="11"/>
      <color indexed="20"/>
      <name val="新細明體"/>
      <family val="1"/>
      <charset val="136"/>
    </font>
    <font>
      <sz val="11"/>
      <color indexed="17"/>
      <name val="新細明體"/>
      <family val="1"/>
      <charset val="136"/>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1"/>
      <color indexed="9"/>
      <name val="新細明體"/>
      <family val="1"/>
      <charset val="136"/>
    </font>
    <font>
      <b/>
      <sz val="11"/>
      <color indexed="52"/>
      <name val="新細明體"/>
      <family val="1"/>
      <charset val="136"/>
    </font>
    <font>
      <i/>
      <sz val="11"/>
      <color indexed="23"/>
      <name val="新細明體"/>
      <family val="1"/>
      <charset val="136"/>
    </font>
    <font>
      <sz val="11"/>
      <color indexed="10"/>
      <name val="新細明體"/>
      <family val="1"/>
      <charset val="136"/>
    </font>
    <font>
      <sz val="11"/>
      <color indexed="62"/>
      <name val="新細明體"/>
      <family val="1"/>
      <charset val="136"/>
    </font>
    <font>
      <b/>
      <sz val="11"/>
      <color indexed="63"/>
      <name val="新細明體"/>
      <family val="1"/>
      <charset val="136"/>
    </font>
    <font>
      <sz val="11"/>
      <color indexed="52"/>
      <name val="新細明體"/>
      <family val="1"/>
      <charset val="136"/>
    </font>
    <font>
      <sz val="11"/>
      <name val="Calibri"/>
      <family val="2"/>
    </font>
    <font>
      <b/>
      <sz val="11"/>
      <color theme="0"/>
      <name val="Calibri"/>
      <family val="2"/>
      <scheme val="minor"/>
    </font>
    <font>
      <sz val="11"/>
      <color indexed="8"/>
      <name val="Calibri"/>
      <family val="2"/>
      <charset val="238"/>
    </font>
    <font>
      <sz val="11"/>
      <color theme="0"/>
      <name val="Calibri"/>
      <family val="2"/>
      <scheme val="minor"/>
    </font>
    <font>
      <b/>
      <sz val="14"/>
      <color theme="0"/>
      <name val="Calibri"/>
      <family val="2"/>
      <scheme val="minor"/>
    </font>
    <font>
      <sz val="11"/>
      <color theme="1"/>
      <name val="Arial"/>
      <family val="2"/>
    </font>
    <font>
      <vertAlign val="superscript"/>
      <sz val="11"/>
      <name val="Calibri"/>
      <family val="2"/>
      <scheme val="minor"/>
    </font>
    <font>
      <sz val="11"/>
      <color indexed="8"/>
      <name val="Arial"/>
      <family val="2"/>
    </font>
    <font>
      <b/>
      <sz val="14"/>
      <name val="Arial"/>
      <family val="2"/>
    </font>
    <font>
      <b/>
      <sz val="14"/>
      <color theme="0"/>
      <name val="Arial"/>
      <family val="2"/>
    </font>
    <font>
      <b/>
      <sz val="11"/>
      <name val="Arial"/>
      <family val="2"/>
    </font>
    <font>
      <b/>
      <sz val="11"/>
      <color theme="0"/>
      <name val="Arial"/>
      <family val="2"/>
    </font>
    <font>
      <b/>
      <sz val="11"/>
      <color theme="1"/>
      <name val="Arial"/>
      <family val="2"/>
    </font>
    <font>
      <sz val="11"/>
      <name val="Arial"/>
      <family val="2"/>
    </font>
    <font>
      <sz val="9"/>
      <color indexed="81"/>
      <name val="Tahoma"/>
      <family val="2"/>
    </font>
    <font>
      <b/>
      <sz val="9"/>
      <color indexed="81"/>
      <name val="Tahoma"/>
      <family val="2"/>
    </font>
    <font>
      <b/>
      <sz val="10"/>
      <color theme="1"/>
      <name val="Arial"/>
      <family val="2"/>
    </font>
    <font>
      <sz val="10"/>
      <color theme="1"/>
      <name val="Arial"/>
      <family val="2"/>
    </font>
  </fonts>
  <fills count="28">
    <fill>
      <patternFill patternType="none"/>
    </fill>
    <fill>
      <patternFill patternType="gray125"/>
    </fill>
    <fill>
      <patternFill patternType="solid">
        <fgColor rgb="FFFFFFCC"/>
        <bgColor indexed="64"/>
      </patternFill>
    </fill>
    <fill>
      <patternFill patternType="solid">
        <fgColor theme="0" tint="-4.9989318521683403E-2"/>
        <bgColor indexed="64"/>
      </patternFill>
    </fill>
    <fill>
      <patternFill patternType="solid">
        <fgColor indexed="47"/>
        <bgColor indexed="64"/>
      </patternFill>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55"/>
      </patternFill>
    </fill>
    <fill>
      <patternFill patternType="solid">
        <fgColor indexed="49"/>
      </patternFill>
    </fill>
    <fill>
      <patternFill patternType="solid">
        <fgColor theme="9" tint="0.79998168889431442"/>
        <bgColor indexed="64"/>
      </patternFill>
    </fill>
    <fill>
      <patternFill patternType="solid">
        <fgColor theme="9" tint="-0.249977111117893"/>
        <bgColor indexed="64"/>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0" tint="-0.14999847407452621"/>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theme="9" tint="-0.24994659260841701"/>
      </left>
      <right/>
      <top style="double">
        <color theme="9" tint="-0.24994659260841701"/>
      </top>
      <bottom style="double">
        <color theme="9" tint="-0.24994659260841701"/>
      </bottom>
      <diagonal/>
    </border>
    <border>
      <left style="medium">
        <color theme="6" tint="0.79998168889431442"/>
      </left>
      <right/>
      <top style="medium">
        <color theme="6" tint="0.79998168889431442"/>
      </top>
      <bottom style="medium">
        <color theme="6" tint="0.7999816888943144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55"/>
      </left>
      <right style="thin">
        <color indexed="55"/>
      </right>
      <top style="thin">
        <color indexed="55"/>
      </top>
      <bottom style="thin">
        <color indexed="55"/>
      </bottom>
      <diagonal/>
    </border>
    <border>
      <left/>
      <right/>
      <top style="thin">
        <color indexed="49"/>
      </top>
      <bottom style="double">
        <color indexed="49"/>
      </bottom>
      <diagonal/>
    </border>
    <border>
      <left/>
      <right/>
      <top/>
      <bottom style="thick">
        <color indexed="49"/>
      </bottom>
      <diagonal/>
    </border>
    <border>
      <left/>
      <right/>
      <top/>
      <bottom style="thick">
        <color indexed="55"/>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s>
  <cellStyleXfs count="154">
    <xf numFmtId="0" fontId="0" fillId="0" borderId="0"/>
    <xf numFmtId="0" fontId="6" fillId="0" borderId="0"/>
    <xf numFmtId="0" fontId="5" fillId="0" borderId="0"/>
    <xf numFmtId="0" fontId="17" fillId="6"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alignment vertical="center"/>
    </xf>
    <xf numFmtId="0" fontId="18" fillId="11" borderId="0" applyNumberFormat="0" applyBorder="0" applyAlignment="0" applyProtection="0">
      <alignment vertical="center"/>
    </xf>
    <xf numFmtId="0" fontId="18" fillId="13" borderId="0" applyNumberFormat="0" applyBorder="0" applyAlignment="0" applyProtection="0">
      <alignment vertical="center"/>
    </xf>
    <xf numFmtId="0" fontId="18" fillId="12"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7" fillId="14"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8" fillId="18" borderId="0" applyNumberFormat="0" applyBorder="0" applyAlignment="0" applyProtection="0">
      <alignment vertical="center"/>
    </xf>
    <xf numFmtId="0" fontId="18" fillId="15" borderId="0" applyNumberFormat="0" applyBorder="0" applyAlignment="0" applyProtection="0">
      <alignment vertical="center"/>
    </xf>
    <xf numFmtId="0" fontId="18" fillId="13" borderId="0" applyNumberFormat="0" applyBorder="0" applyAlignment="0" applyProtection="0">
      <alignment vertical="center"/>
    </xf>
    <xf numFmtId="0" fontId="18" fillId="18" borderId="0" applyNumberFormat="0" applyBorder="0" applyAlignment="0" applyProtection="0">
      <alignment vertical="center"/>
    </xf>
    <xf numFmtId="0" fontId="18" fillId="14" borderId="0" applyNumberFormat="0" applyBorder="0" applyAlignment="0" applyProtection="0">
      <alignment vertical="center"/>
    </xf>
    <xf numFmtId="0" fontId="18" fillId="11" borderId="0" applyNumberFormat="0" applyBorder="0" applyAlignment="0" applyProtection="0">
      <alignment vertical="center"/>
    </xf>
    <xf numFmtId="0" fontId="19" fillId="19"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9" fillId="11" borderId="0" applyNumberFormat="0" applyBorder="0" applyAlignment="0" applyProtection="0">
      <alignment vertical="center"/>
    </xf>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0" fontId="20" fillId="12" borderId="10" applyNumberFormat="0" applyAlignment="0" applyProtection="0"/>
    <xf numFmtId="164" fontId="21" fillId="0" borderId="0" applyFont="0" applyFill="0" applyBorder="0" applyAlignment="0" applyProtection="0"/>
    <xf numFmtId="0" fontId="22" fillId="20" borderId="11">
      <alignment horizontal="left" vertical="center" indent="1"/>
    </xf>
    <xf numFmtId="0" fontId="23" fillId="21" borderId="12" applyBorder="0">
      <alignment horizontal="left" vertical="center" indent="1"/>
    </xf>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4" fillId="11" borderId="10" applyNumberFormat="0" applyAlignment="0" applyProtection="0"/>
    <xf numFmtId="0" fontId="25" fillId="0" borderId="0"/>
    <xf numFmtId="0" fontId="26" fillId="0" borderId="0">
      <alignment vertical="center"/>
    </xf>
    <xf numFmtId="0" fontId="21" fillId="0" borderId="0"/>
    <xf numFmtId="0" fontId="17" fillId="0" borderId="0"/>
    <xf numFmtId="0" fontId="21" fillId="0" borderId="0"/>
    <xf numFmtId="0" fontId="27" fillId="0" borderId="0"/>
    <xf numFmtId="0" fontId="5" fillId="0" borderId="0"/>
    <xf numFmtId="0" fontId="5" fillId="0" borderId="0"/>
    <xf numFmtId="0" fontId="17" fillId="0" borderId="0"/>
    <xf numFmtId="0" fontId="5" fillId="0" borderId="0"/>
    <xf numFmtId="0" fontId="5" fillId="0" borderId="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17" fillId="13" borderId="13" applyNumberFormat="0" applyFon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0" fontId="28" fillId="12" borderId="14" applyNumberFormat="0" applyAlignment="0" applyProtection="0"/>
    <xf numFmtId="9" fontId="17" fillId="0" borderId="0" applyFont="0" applyFill="0" applyBorder="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29" fillId="0" borderId="15" applyNumberFormat="0" applyFill="0" applyAlignment="0" applyProtection="0"/>
    <xf numFmtId="0" fontId="30" fillId="0" borderId="0"/>
    <xf numFmtId="0" fontId="31" fillId="11" borderId="0" applyNumberFormat="0" applyBorder="0" applyAlignment="0" applyProtection="0">
      <alignment vertical="center"/>
    </xf>
    <xf numFmtId="0" fontId="21" fillId="13" borderId="16" applyNumberFormat="0" applyFont="0" applyAlignment="0" applyProtection="0">
      <alignment vertical="center"/>
    </xf>
    <xf numFmtId="0" fontId="32" fillId="0" borderId="17" applyNumberFormat="0" applyFill="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0" borderId="0" applyNumberFormat="0" applyFill="0" applyBorder="0" applyAlignment="0" applyProtection="0">
      <alignment vertical="center"/>
    </xf>
    <xf numFmtId="0" fontId="36" fillId="0" borderId="18" applyNumberFormat="0" applyFill="0" applyAlignment="0" applyProtection="0">
      <alignment vertical="center"/>
    </xf>
    <xf numFmtId="0" fontId="37" fillId="0" borderId="19" applyNumberFormat="0" applyFill="0" applyAlignment="0" applyProtection="0">
      <alignment vertical="center"/>
    </xf>
    <xf numFmtId="0" fontId="38" fillId="0" borderId="20" applyNumberFormat="0" applyFill="0" applyAlignment="0" applyProtection="0">
      <alignment vertical="center"/>
    </xf>
    <xf numFmtId="0" fontId="38" fillId="0" borderId="0" applyNumberFormat="0" applyFill="0" applyBorder="0" applyAlignment="0" applyProtection="0">
      <alignment vertical="center"/>
    </xf>
    <xf numFmtId="0" fontId="39" fillId="18" borderId="21" applyNumberFormat="0" applyAlignment="0" applyProtection="0">
      <alignment vertical="center"/>
    </xf>
    <xf numFmtId="0" fontId="40" fillId="12" borderId="10" applyNumberForma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19" fillId="19"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19" borderId="0" applyNumberFormat="0" applyBorder="0" applyAlignment="0" applyProtection="0">
      <alignment vertical="center"/>
    </xf>
    <xf numFmtId="0" fontId="19" fillId="25" borderId="0" applyNumberFormat="0" applyBorder="0" applyAlignment="0" applyProtection="0">
      <alignment vertical="center"/>
    </xf>
    <xf numFmtId="0" fontId="43" fillId="11" borderId="10" applyNumberFormat="0" applyAlignment="0" applyProtection="0">
      <alignment vertical="center"/>
    </xf>
    <xf numFmtId="0" fontId="44" fillId="12" borderId="14" applyNumberFormat="0" applyAlignment="0" applyProtection="0">
      <alignment vertical="center"/>
    </xf>
    <xf numFmtId="0" fontId="45" fillId="0" borderId="22" applyNumberFormat="0" applyFill="0" applyAlignment="0" applyProtection="0">
      <alignment vertical="center"/>
    </xf>
    <xf numFmtId="0" fontId="4" fillId="0" borderId="0"/>
    <xf numFmtId="0" fontId="3" fillId="0" borderId="0"/>
    <xf numFmtId="0" fontId="51" fillId="0" borderId="0"/>
    <xf numFmtId="0" fontId="21" fillId="0" borderId="0"/>
    <xf numFmtId="0" fontId="1" fillId="0" borderId="0"/>
  </cellStyleXfs>
  <cellXfs count="148">
    <xf numFmtId="0" fontId="0" fillId="0" borderId="0" xfId="0"/>
    <xf numFmtId="0" fontId="8" fillId="0" borderId="0" xfId="0" applyFont="1"/>
    <xf numFmtId="0" fontId="11" fillId="0" borderId="0" xfId="0" applyFont="1"/>
    <xf numFmtId="0" fontId="13" fillId="0" borderId="0" xfId="0" applyFont="1"/>
    <xf numFmtId="0" fontId="14" fillId="0" borderId="0" xfId="0" applyFont="1"/>
    <xf numFmtId="0" fontId="15" fillId="0" borderId="0" xfId="0" applyFont="1"/>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10" fillId="0" borderId="0" xfId="0" applyFont="1" applyAlignment="1">
      <alignment vertical="center" wrapText="1"/>
    </xf>
    <xf numFmtId="0" fontId="16" fillId="0" borderId="0" xfId="0" applyFont="1"/>
    <xf numFmtId="0" fontId="0" fillId="0" borderId="0" xfId="0" applyAlignment="1"/>
    <xf numFmtId="0" fontId="0" fillId="0" borderId="1" xfId="0" applyFill="1" applyBorder="1" applyAlignment="1">
      <alignment vertical="center" wrapText="1"/>
    </xf>
    <xf numFmtId="0" fontId="0" fillId="5" borderId="1" xfId="0" applyFill="1" applyBorder="1" applyAlignment="1">
      <alignment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0" fillId="0" borderId="1" xfId="0" quotePrefix="1" applyBorder="1" applyAlignment="1">
      <alignment horizontal="left" vertical="center" wrapText="1"/>
    </xf>
    <xf numFmtId="0" fontId="0" fillId="4" borderId="1" xfId="0" quotePrefix="1" applyFill="1" applyBorder="1" applyAlignment="1">
      <alignment horizontal="left" vertical="center" wrapText="1"/>
    </xf>
    <xf numFmtId="0" fontId="12" fillId="5" borderId="5" xfId="1" applyFont="1" applyFill="1" applyBorder="1"/>
    <xf numFmtId="0" fontId="6" fillId="5" borderId="6" xfId="1" applyFill="1" applyBorder="1"/>
    <xf numFmtId="0" fontId="6" fillId="5" borderId="7" xfId="1" applyFill="1" applyBorder="1"/>
    <xf numFmtId="0" fontId="6" fillId="0" borderId="0" xfId="1"/>
    <xf numFmtId="0" fontId="12" fillId="5" borderId="1" xfId="1" applyFont="1" applyFill="1" applyBorder="1" applyAlignment="1">
      <alignment horizontal="center" vertical="center"/>
    </xf>
    <xf numFmtId="0" fontId="6" fillId="0" borderId="1" xfId="1" applyBorder="1" applyAlignment="1">
      <alignment horizontal="center" vertical="center"/>
    </xf>
    <xf numFmtId="0" fontId="12" fillId="5" borderId="4" xfId="1" applyFont="1" applyFill="1" applyBorder="1" applyAlignment="1">
      <alignment horizontal="center" vertical="center"/>
    </xf>
    <xf numFmtId="0" fontId="6" fillId="0" borderId="1" xfId="1" applyBorder="1" applyAlignment="1">
      <alignment horizontal="center" vertical="center" wrapText="1"/>
    </xf>
    <xf numFmtId="0" fontId="6" fillId="0" borderId="1" xfId="1" applyBorder="1" applyAlignment="1">
      <alignment horizontal="left" vertical="center" wrapText="1"/>
    </xf>
    <xf numFmtId="0" fontId="8" fillId="0" borderId="0" xfId="0" applyFont="1" applyAlignment="1">
      <alignment vertical="top"/>
    </xf>
    <xf numFmtId="0" fontId="8" fillId="0" borderId="1" xfId="0" applyFont="1" applyFill="1" applyBorder="1" applyAlignment="1">
      <alignment horizontal="left" vertical="top" wrapText="1"/>
    </xf>
    <xf numFmtId="0" fontId="8" fillId="0" borderId="1" xfId="0" applyFont="1" applyBorder="1" applyAlignment="1">
      <alignment vertical="top" wrapText="1"/>
    </xf>
    <xf numFmtId="0" fontId="0" fillId="0" borderId="0" xfId="0" applyAlignment="1">
      <alignment vertical="top"/>
    </xf>
    <xf numFmtId="0" fontId="8" fillId="0" borderId="1" xfId="0" applyFont="1" applyFill="1" applyBorder="1" applyAlignment="1">
      <alignment horizontal="center" vertical="top" wrapText="1"/>
    </xf>
    <xf numFmtId="0" fontId="8" fillId="0" borderId="1" xfId="0" applyFont="1" applyBorder="1" applyAlignment="1">
      <alignment horizontal="center" vertical="top" wrapText="1"/>
    </xf>
    <xf numFmtId="0" fontId="0" fillId="0" borderId="0" xfId="0" applyAlignment="1">
      <alignment horizontal="center" vertical="top"/>
    </xf>
    <xf numFmtId="0" fontId="8" fillId="0" borderId="2" xfId="0" applyFont="1" applyFill="1" applyBorder="1" applyAlignment="1">
      <alignment horizontal="left" vertical="top" wrapText="1"/>
    </xf>
    <xf numFmtId="0" fontId="8" fillId="0" borderId="3" xfId="0" applyFont="1" applyFill="1" applyBorder="1" applyAlignment="1">
      <alignment horizontal="left" vertical="top" wrapText="1"/>
    </xf>
    <xf numFmtId="0" fontId="8" fillId="0" borderId="4" xfId="0" applyFont="1" applyFill="1" applyBorder="1" applyAlignment="1">
      <alignment horizontal="left" vertical="top" wrapText="1"/>
    </xf>
    <xf numFmtId="0" fontId="8" fillId="0" borderId="1" xfId="0" applyFont="1" applyBorder="1" applyAlignment="1">
      <alignment vertical="top"/>
    </xf>
    <xf numFmtId="0" fontId="8" fillId="2" borderId="1" xfId="0" applyFont="1" applyFill="1" applyBorder="1" applyAlignment="1">
      <alignment horizontal="center"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top"/>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8" fillId="0" borderId="2" xfId="0" applyFont="1" applyFill="1" applyBorder="1" applyAlignment="1">
      <alignment horizontal="center" vertical="top" wrapText="1"/>
    </xf>
    <xf numFmtId="0" fontId="8" fillId="0" borderId="3" xfId="0" applyFont="1" applyFill="1" applyBorder="1" applyAlignment="1">
      <alignment horizontal="center" vertical="top" wrapText="1"/>
    </xf>
    <xf numFmtId="0" fontId="8" fillId="0" borderId="4" xfId="0" applyFont="1" applyFill="1" applyBorder="1" applyAlignment="1">
      <alignment horizontal="center" vertical="top" wrapText="1"/>
    </xf>
    <xf numFmtId="0" fontId="4" fillId="0" borderId="0" xfId="0" applyFont="1"/>
    <xf numFmtId="0" fontId="9" fillId="5" borderId="1" xfId="0" applyFont="1" applyFill="1" applyBorder="1" applyAlignment="1">
      <alignment horizontal="center" vertical="center" wrapText="1"/>
    </xf>
    <xf numFmtId="0" fontId="4" fillId="0" borderId="1" xfId="149" applyFont="1" applyBorder="1" applyAlignment="1">
      <alignment horizontal="left"/>
    </xf>
    <xf numFmtId="0" fontId="4" fillId="0" borderId="1" xfId="0" applyFont="1" applyBorder="1"/>
    <xf numFmtId="0" fontId="4" fillId="0" borderId="1" xfId="149" applyFont="1" applyFill="1" applyBorder="1" applyAlignment="1">
      <alignment horizontal="left" vertical="center" wrapText="1"/>
    </xf>
    <xf numFmtId="0" fontId="8" fillId="0" borderId="1" xfId="149" applyFont="1" applyFill="1" applyBorder="1" applyAlignment="1">
      <alignment horizontal="left" vertical="center" wrapText="1"/>
    </xf>
    <xf numFmtId="0" fontId="0" fillId="0" borderId="1" xfId="0" applyBorder="1"/>
    <xf numFmtId="0" fontId="12" fillId="5" borderId="1" xfId="0" applyFont="1" applyFill="1" applyBorder="1"/>
    <xf numFmtId="0" fontId="48" fillId="0" borderId="0" xfId="0" applyFont="1"/>
    <xf numFmtId="0" fontId="47" fillId="21"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15" fontId="0" fillId="0" borderId="1" xfId="0" applyNumberFormat="1" applyBorder="1" applyAlignment="1">
      <alignment horizontal="left" vertical="top" wrapText="1"/>
    </xf>
    <xf numFmtId="0" fontId="17" fillId="0" borderId="0" xfId="77"/>
    <xf numFmtId="0" fontId="12" fillId="3" borderId="5"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0" fillId="3" borderId="4" xfId="0" applyFill="1" applyBorder="1" applyAlignment="1">
      <alignment horizontal="center" vertical="center"/>
    </xf>
    <xf numFmtId="0" fontId="49" fillId="0" borderId="0" xfId="0" applyFont="1"/>
    <xf numFmtId="0" fontId="2" fillId="0" borderId="1" xfId="149" applyFont="1" applyBorder="1" applyAlignment="1">
      <alignment horizontal="left"/>
    </xf>
    <xf numFmtId="0" fontId="12" fillId="5" borderId="1" xfId="0" applyFont="1" applyFill="1" applyBorder="1" applyAlignment="1">
      <alignment horizontal="center" vertical="center"/>
    </xf>
    <xf numFmtId="0" fontId="0" fillId="5" borderId="1" xfId="0" applyFill="1" applyBorder="1" applyAlignment="1">
      <alignment horizontal="center" vertical="center"/>
    </xf>
    <xf numFmtId="0" fontId="8" fillId="0" borderId="2" xfId="0" applyFont="1" applyBorder="1" applyAlignment="1">
      <alignment horizontal="center" vertical="top" wrapText="1"/>
    </xf>
    <xf numFmtId="0" fontId="8" fillId="2" borderId="2" xfId="0" applyFont="1" applyFill="1" applyBorder="1" applyAlignment="1">
      <alignment horizontal="center" vertical="top" wrapText="1"/>
    </xf>
    <xf numFmtId="0" fontId="8" fillId="0" borderId="2" xfId="0" applyFont="1" applyBorder="1" applyAlignment="1">
      <alignment horizontal="left" vertical="top" wrapText="1"/>
    </xf>
    <xf numFmtId="0" fontId="0" fillId="0" borderId="2" xfId="0" applyBorder="1" applyAlignment="1">
      <alignment horizontal="left" vertical="top" wrapText="1"/>
    </xf>
    <xf numFmtId="0" fontId="51" fillId="0" borderId="1" xfId="150" applyFont="1" applyFill="1" applyBorder="1" applyAlignment="1">
      <alignment vertical="center" wrapText="1"/>
    </xf>
    <xf numFmtId="0" fontId="51" fillId="0" borderId="0" xfId="0" applyFont="1"/>
    <xf numFmtId="0" fontId="56" fillId="5" borderId="1" xfId="0" applyFont="1" applyFill="1" applyBorder="1" applyAlignment="1">
      <alignment horizontal="center" vertical="center" wrapText="1"/>
    </xf>
    <xf numFmtId="0" fontId="57" fillId="21" borderId="1" xfId="0" applyFont="1" applyFill="1" applyBorder="1" applyAlignment="1">
      <alignment horizontal="center" vertical="center" wrapText="1"/>
    </xf>
    <xf numFmtId="0" fontId="58" fillId="0" borderId="0" xfId="0" applyFont="1" applyAlignment="1">
      <alignment vertical="center" wrapText="1"/>
    </xf>
    <xf numFmtId="0" fontId="59" fillId="0" borderId="2" xfId="0" applyFont="1" applyFill="1" applyBorder="1" applyAlignment="1">
      <alignment horizontal="center" vertical="top" wrapText="1"/>
    </xf>
    <xf numFmtId="0" fontId="51" fillId="0" borderId="2" xfId="0" applyFont="1" applyFill="1" applyBorder="1" applyAlignment="1">
      <alignment horizontal="left" vertical="top" wrapText="1"/>
    </xf>
    <xf numFmtId="0" fontId="59" fillId="0" borderId="2" xfId="0" applyFont="1" applyFill="1" applyBorder="1" applyAlignment="1">
      <alignment horizontal="left" vertical="top" wrapText="1"/>
    </xf>
    <xf numFmtId="0" fontId="59" fillId="0" borderId="1" xfId="0" applyFont="1" applyFill="1" applyBorder="1" applyAlignment="1">
      <alignment horizontal="left" vertical="top" wrapText="1"/>
    </xf>
    <xf numFmtId="0" fontId="59" fillId="0" borderId="1" xfId="0" applyFont="1" applyFill="1" applyBorder="1" applyAlignment="1">
      <alignment horizontal="center" vertical="top" wrapText="1"/>
    </xf>
    <xf numFmtId="0" fontId="59" fillId="0" borderId="1" xfId="0" applyFont="1" applyBorder="1" applyAlignment="1">
      <alignment horizontal="center" vertical="top" wrapText="1"/>
    </xf>
    <xf numFmtId="0" fontId="59" fillId="0" borderId="1" xfId="0" applyFont="1" applyBorder="1" applyAlignment="1">
      <alignment horizontal="left" vertical="top" wrapText="1"/>
    </xf>
    <xf numFmtId="0" fontId="51" fillId="0" borderId="1" xfId="0" applyFont="1" applyBorder="1" applyAlignment="1">
      <alignment horizontal="left" vertical="top" wrapText="1"/>
    </xf>
    <xf numFmtId="15" fontId="51" fillId="0" borderId="1" xfId="0" applyNumberFormat="1" applyFont="1" applyBorder="1" applyAlignment="1">
      <alignment horizontal="left" vertical="top" wrapText="1"/>
    </xf>
    <xf numFmtId="0" fontId="51" fillId="0" borderId="0" xfId="0" applyFont="1" applyAlignment="1">
      <alignment horizontal="left" vertical="center" wrapText="1"/>
    </xf>
    <xf numFmtId="0" fontId="59" fillId="0" borderId="3" xfId="0" applyFont="1" applyFill="1" applyBorder="1" applyAlignment="1">
      <alignment horizontal="center" vertical="top" wrapText="1"/>
    </xf>
    <xf numFmtId="0" fontId="51" fillId="0" borderId="3" xfId="0" applyFont="1" applyFill="1" applyBorder="1" applyAlignment="1">
      <alignment horizontal="left" vertical="top" wrapText="1"/>
    </xf>
    <xf numFmtId="0" fontId="59" fillId="0" borderId="3" xfId="0" applyFont="1" applyFill="1" applyBorder="1" applyAlignment="1">
      <alignment horizontal="left" vertical="top" wrapText="1"/>
    </xf>
    <xf numFmtId="0" fontId="51" fillId="0" borderId="1" xfId="0" applyFont="1" applyBorder="1" applyAlignment="1">
      <alignment horizontal="left" vertical="center" wrapText="1"/>
    </xf>
    <xf numFmtId="0" fontId="59" fillId="2" borderId="1" xfId="0" applyFont="1" applyFill="1" applyBorder="1" applyAlignment="1">
      <alignment horizontal="center" vertical="top" wrapText="1"/>
    </xf>
    <xf numFmtId="0" fontId="59" fillId="0" borderId="4" xfId="0" applyFont="1" applyFill="1" applyBorder="1" applyAlignment="1">
      <alignment horizontal="center" vertical="top" wrapText="1"/>
    </xf>
    <xf numFmtId="0" fontId="51" fillId="0" borderId="4" xfId="0" applyFont="1" applyFill="1" applyBorder="1" applyAlignment="1">
      <alignment horizontal="left" vertical="top" wrapText="1"/>
    </xf>
    <xf numFmtId="0" fontId="59" fillId="0" borderId="4" xfId="0" applyFont="1" applyFill="1" applyBorder="1" applyAlignment="1">
      <alignment horizontal="left" vertical="top" wrapText="1"/>
    </xf>
    <xf numFmtId="0" fontId="59" fillId="0" borderId="2" xfId="0" applyFont="1" applyBorder="1" applyAlignment="1">
      <alignment horizontal="center" vertical="top" wrapText="1"/>
    </xf>
    <xf numFmtId="0" fontId="59" fillId="2" borderId="2" xfId="0" applyFont="1" applyFill="1" applyBorder="1" applyAlignment="1">
      <alignment horizontal="center" vertical="top" wrapText="1"/>
    </xf>
    <xf numFmtId="0" fontId="59" fillId="0" borderId="2" xfId="0" applyFont="1" applyBorder="1" applyAlignment="1">
      <alignment horizontal="left" vertical="top" wrapText="1"/>
    </xf>
    <xf numFmtId="0" fontId="51" fillId="0" borderId="2" xfId="0" applyFont="1" applyBorder="1" applyAlignment="1">
      <alignment horizontal="left" vertical="top" wrapText="1"/>
    </xf>
    <xf numFmtId="0" fontId="59" fillId="0" borderId="0" xfId="0" applyFont="1" applyAlignment="1">
      <alignment vertical="top"/>
    </xf>
    <xf numFmtId="0" fontId="59" fillId="0" borderId="1" xfId="0" applyFont="1" applyBorder="1" applyAlignment="1">
      <alignment vertical="top"/>
    </xf>
    <xf numFmtId="0" fontId="51" fillId="0" borderId="0" xfId="0" applyFont="1" applyAlignment="1">
      <alignment horizontal="center" vertical="top"/>
    </xf>
    <xf numFmtId="0" fontId="51" fillId="0" borderId="0" xfId="0" applyFont="1" applyAlignment="1">
      <alignment vertical="top"/>
    </xf>
    <xf numFmtId="0" fontId="62" fillId="5" borderId="1" xfId="0" applyFont="1" applyFill="1" applyBorder="1"/>
    <xf numFmtId="0" fontId="63" fillId="0" borderId="0" xfId="0" applyFont="1"/>
    <xf numFmtId="0" fontId="63" fillId="0" borderId="1" xfId="0" applyFont="1" applyBorder="1"/>
    <xf numFmtId="0" fontId="63" fillId="0" borderId="1" xfId="0" applyFont="1" applyBorder="1" applyAlignment="1">
      <alignment horizontal="center" vertical="center"/>
    </xf>
    <xf numFmtId="0" fontId="63" fillId="0" borderId="1" xfId="149" applyFont="1" applyBorder="1" applyAlignment="1">
      <alignment horizontal="left"/>
    </xf>
    <xf numFmtId="0" fontId="21" fillId="0" borderId="1" xfId="149" applyFont="1" applyFill="1" applyBorder="1" applyAlignment="1">
      <alignment horizontal="left" vertical="center" wrapText="1"/>
    </xf>
    <xf numFmtId="0" fontId="63" fillId="0" borderId="1" xfId="149" applyFont="1" applyFill="1" applyBorder="1" applyAlignment="1">
      <alignment horizontal="left" vertical="center" wrapText="1"/>
    </xf>
    <xf numFmtId="0" fontId="63" fillId="0" borderId="0" xfId="0" applyFont="1" applyAlignment="1">
      <alignment horizontal="center" vertical="center"/>
    </xf>
    <xf numFmtId="0" fontId="62" fillId="26" borderId="1" xfId="0" applyFont="1" applyFill="1" applyBorder="1" applyAlignment="1">
      <alignment horizontal="center" vertical="center"/>
    </xf>
    <xf numFmtId="0" fontId="51" fillId="0" borderId="0" xfId="0" applyFont="1" applyBorder="1" applyAlignment="1">
      <alignment horizontal="left" vertical="center" wrapText="1"/>
    </xf>
    <xf numFmtId="0" fontId="59" fillId="0" borderId="4" xfId="0" applyFont="1" applyBorder="1" applyAlignment="1">
      <alignment horizontal="center" vertical="top" wrapText="1"/>
    </xf>
    <xf numFmtId="0" fontId="59" fillId="2" borderId="4" xfId="0" applyFont="1" applyFill="1" applyBorder="1" applyAlignment="1">
      <alignment horizontal="center" vertical="top" wrapText="1"/>
    </xf>
    <xf numFmtId="0" fontId="59" fillId="0" borderId="4" xfId="0" applyFont="1" applyBorder="1" applyAlignment="1">
      <alignment horizontal="left" vertical="top" wrapText="1"/>
    </xf>
    <xf numFmtId="0" fontId="51" fillId="0" borderId="4" xfId="0" applyFont="1" applyBorder="1" applyAlignment="1">
      <alignment horizontal="left" vertical="center" wrapText="1"/>
    </xf>
    <xf numFmtId="0" fontId="51" fillId="27" borderId="2" xfId="0" applyFont="1" applyFill="1" applyBorder="1" applyAlignment="1">
      <alignment horizontal="left" vertical="top" wrapText="1"/>
    </xf>
    <xf numFmtId="0" fontId="51" fillId="5" borderId="5" xfId="150" applyFont="1" applyFill="1" applyBorder="1" applyAlignment="1">
      <alignment horizontal="left" vertical="center" wrapText="1" indent="1"/>
    </xf>
    <xf numFmtId="15" fontId="53" fillId="5" borderId="1" xfId="77" applyNumberFormat="1" applyFont="1" applyFill="1" applyBorder="1" applyAlignment="1">
      <alignment horizontal="left" vertical="center" indent="1"/>
    </xf>
    <xf numFmtId="0" fontId="53" fillId="5" borderId="1" xfId="77" applyFont="1" applyFill="1" applyBorder="1" applyAlignment="1">
      <alignment horizontal="left" vertical="center" indent="1"/>
    </xf>
    <xf numFmtId="49" fontId="53" fillId="5" borderId="1" xfId="77" applyNumberFormat="1" applyFont="1" applyFill="1" applyBorder="1" applyAlignment="1">
      <alignment horizontal="left" vertical="center" indent="1"/>
    </xf>
    <xf numFmtId="0" fontId="53" fillId="0" borderId="1" xfId="77" applyFont="1" applyFill="1" applyBorder="1" applyAlignment="1">
      <alignment vertical="center"/>
    </xf>
    <xf numFmtId="0" fontId="53" fillId="5" borderId="1" xfId="77" applyFont="1" applyFill="1" applyBorder="1" applyAlignment="1">
      <alignment horizontal="left" vertical="center" indent="1"/>
    </xf>
    <xf numFmtId="0" fontId="53" fillId="5" borderId="5" xfId="77" applyFont="1" applyFill="1" applyBorder="1" applyAlignment="1">
      <alignment horizontal="left" vertical="center"/>
    </xf>
    <xf numFmtId="0" fontId="53" fillId="5" borderId="6" xfId="77" applyFont="1" applyFill="1" applyBorder="1" applyAlignment="1">
      <alignment horizontal="left" vertical="center"/>
    </xf>
    <xf numFmtId="0" fontId="53" fillId="5" borderId="7" xfId="77" applyFont="1" applyFill="1" applyBorder="1" applyAlignment="1">
      <alignment horizontal="left" vertical="center"/>
    </xf>
    <xf numFmtId="0" fontId="53" fillId="5" borderId="5" xfId="77" applyFont="1" applyFill="1" applyBorder="1" applyAlignment="1">
      <alignment horizontal="left" vertical="center" indent="1"/>
    </xf>
    <xf numFmtId="0" fontId="53" fillId="5" borderId="6" xfId="77" applyFont="1" applyFill="1" applyBorder="1" applyAlignment="1">
      <alignment horizontal="left" vertical="center" indent="1"/>
    </xf>
    <xf numFmtId="0" fontId="53" fillId="5" borderId="7" xfId="77" applyFont="1" applyFill="1" applyBorder="1" applyAlignment="1">
      <alignment horizontal="left" vertical="center" indent="1"/>
    </xf>
    <xf numFmtId="0" fontId="7" fillId="5" borderId="5" xfId="0" applyFont="1" applyFill="1" applyBorder="1" applyAlignment="1">
      <alignment horizontal="left" vertical="top"/>
    </xf>
    <xf numFmtId="0" fontId="7" fillId="5" borderId="6" xfId="0" applyFont="1" applyFill="1" applyBorder="1" applyAlignment="1">
      <alignment horizontal="left" vertical="top"/>
    </xf>
    <xf numFmtId="0" fontId="7" fillId="5" borderId="7" xfId="0" applyFont="1" applyFill="1" applyBorder="1" applyAlignment="1">
      <alignment horizontal="left" vertical="top"/>
    </xf>
    <xf numFmtId="0" fontId="50" fillId="21" borderId="8" xfId="0" applyFont="1" applyFill="1" applyBorder="1" applyAlignment="1">
      <alignment horizontal="left"/>
    </xf>
    <xf numFmtId="0" fontId="50" fillId="21" borderId="9" xfId="0" applyFont="1" applyFill="1" applyBorder="1" applyAlignment="1">
      <alignment horizontal="left"/>
    </xf>
    <xf numFmtId="0" fontId="54" fillId="5" borderId="5" xfId="0" applyFont="1" applyFill="1" applyBorder="1" applyAlignment="1">
      <alignment horizontal="left" vertical="top"/>
    </xf>
    <xf numFmtId="0" fontId="54" fillId="5" borderId="6" xfId="0" applyFont="1" applyFill="1" applyBorder="1" applyAlignment="1">
      <alignment horizontal="left" vertical="top"/>
    </xf>
    <xf numFmtId="0" fontId="54" fillId="5" borderId="7" xfId="0" applyFont="1" applyFill="1" applyBorder="1" applyAlignment="1">
      <alignment horizontal="left" vertical="top"/>
    </xf>
    <xf numFmtId="0" fontId="55" fillId="21" borderId="8" xfId="0" applyFont="1" applyFill="1" applyBorder="1" applyAlignment="1">
      <alignment horizontal="left"/>
    </xf>
    <xf numFmtId="0" fontId="55" fillId="21" borderId="9" xfId="0" applyFont="1" applyFill="1" applyBorder="1" applyAlignment="1">
      <alignment horizontal="left"/>
    </xf>
    <xf numFmtId="0" fontId="12" fillId="3" borderId="1" xfId="0" applyFont="1" applyFill="1" applyBorder="1" applyAlignment="1">
      <alignment horizontal="center" vertical="center" textRotation="90"/>
    </xf>
    <xf numFmtId="0" fontId="12" fillId="3" borderId="1" xfId="0" applyFont="1" applyFill="1" applyBorder="1" applyAlignment="1">
      <alignment horizontal="center" vertical="center"/>
    </xf>
    <xf numFmtId="0" fontId="62" fillId="5" borderId="23" xfId="153" applyFont="1" applyFill="1" applyBorder="1" applyAlignment="1">
      <alignment horizontal="center" vertical="center"/>
    </xf>
    <xf numFmtId="0" fontId="63" fillId="0" borderId="0" xfId="153" applyFont="1"/>
    <xf numFmtId="0" fontId="63" fillId="0" borderId="23" xfId="153" applyFont="1" applyBorder="1" applyAlignment="1">
      <alignment horizontal="left" vertical="center" indent="1"/>
    </xf>
  </cellXfs>
  <cellStyles count="154">
    <cellStyle name="20% - Accent1 2" xfId="3"/>
    <cellStyle name="20% - Accent1 3" xfId="4"/>
    <cellStyle name="20% - Accent2 2" xfId="5"/>
    <cellStyle name="20% - Accent2 3" xfId="6"/>
    <cellStyle name="20% - Accent3 2" xfId="7"/>
    <cellStyle name="20% - Accent3 3" xfId="8"/>
    <cellStyle name="20% - Accent4 2" xfId="9"/>
    <cellStyle name="20% - Accent4 3" xfId="10"/>
    <cellStyle name="20% - Accent5 2" xfId="11"/>
    <cellStyle name="20% - Accent5 3" xfId="12"/>
    <cellStyle name="20% - Accent6 2" xfId="13"/>
    <cellStyle name="20% - Accent6 3" xfId="14"/>
    <cellStyle name="20% - 輔色1" xfId="15"/>
    <cellStyle name="20% - 輔色2" xfId="16"/>
    <cellStyle name="20% - 輔色3" xfId="17"/>
    <cellStyle name="20% - 輔色4" xfId="18"/>
    <cellStyle name="20% - 輔色5" xfId="19"/>
    <cellStyle name="20% - 輔色6" xfId="20"/>
    <cellStyle name="40% - Accent1 2" xfId="21"/>
    <cellStyle name="40% - Accent1 3" xfId="22"/>
    <cellStyle name="40% - Accent2 2" xfId="23"/>
    <cellStyle name="40% - Accent2 3" xfId="24"/>
    <cellStyle name="40% - Accent3 2" xfId="25"/>
    <cellStyle name="40% - Accent3 3" xfId="26"/>
    <cellStyle name="40% - Accent4 2" xfId="27"/>
    <cellStyle name="40% - Accent4 3" xfId="28"/>
    <cellStyle name="40% - Accent5 2" xfId="29"/>
    <cellStyle name="40% - Accent5 3" xfId="30"/>
    <cellStyle name="40% - Accent6 2" xfId="31"/>
    <cellStyle name="40% - Accent6 3" xfId="32"/>
    <cellStyle name="40% - 輔色1" xfId="33"/>
    <cellStyle name="40% - 輔色2" xfId="34"/>
    <cellStyle name="40% - 輔色3" xfId="35"/>
    <cellStyle name="40% - 輔色4" xfId="36"/>
    <cellStyle name="40% - 輔色5" xfId="37"/>
    <cellStyle name="40% - 輔色6" xfId="38"/>
    <cellStyle name="60% - 輔色1" xfId="39"/>
    <cellStyle name="60% - 輔色2" xfId="40"/>
    <cellStyle name="60% - 輔色3" xfId="41"/>
    <cellStyle name="60% - 輔色4" xfId="42"/>
    <cellStyle name="60% - 輔色5" xfId="43"/>
    <cellStyle name="60% - 輔色6" xfId="44"/>
    <cellStyle name="Calculation 2" xfId="45"/>
    <cellStyle name="Calculation 2 10" xfId="46"/>
    <cellStyle name="Calculation 2 11" xfId="47"/>
    <cellStyle name="Calculation 2 12" xfId="48"/>
    <cellStyle name="Calculation 2 2" xfId="49"/>
    <cellStyle name="Calculation 2 3" xfId="50"/>
    <cellStyle name="Calculation 2 4" xfId="51"/>
    <cellStyle name="Calculation 2 5" xfId="52"/>
    <cellStyle name="Calculation 2 6" xfId="53"/>
    <cellStyle name="Calculation 2 7" xfId="54"/>
    <cellStyle name="Calculation 2 8" xfId="55"/>
    <cellStyle name="Calculation 2 9" xfId="56"/>
    <cellStyle name="Calculation 3" xfId="57"/>
    <cellStyle name="Euro" xfId="58"/>
    <cellStyle name="Head 01" xfId="59"/>
    <cellStyle name="Head-01" xfId="60"/>
    <cellStyle name="Input 2" xfId="61"/>
    <cellStyle name="Input 2 10" xfId="62"/>
    <cellStyle name="Input 2 11" xfId="63"/>
    <cellStyle name="Input 2 12" xfId="64"/>
    <cellStyle name="Input 2 2" xfId="65"/>
    <cellStyle name="Input 2 3" xfId="66"/>
    <cellStyle name="Input 2 4" xfId="67"/>
    <cellStyle name="Input 2 5" xfId="68"/>
    <cellStyle name="Input 2 6" xfId="69"/>
    <cellStyle name="Input 2 7" xfId="70"/>
    <cellStyle name="Input 2 8" xfId="71"/>
    <cellStyle name="Input 2 9" xfId="72"/>
    <cellStyle name="Input 3" xfId="73"/>
    <cellStyle name="Normal" xfId="0" builtinId="0"/>
    <cellStyle name="Normal 18" xfId="74"/>
    <cellStyle name="Normal 2" xfId="1"/>
    <cellStyle name="Normal 2 2" xfId="75"/>
    <cellStyle name="Normal 2 2 2" xfId="152"/>
    <cellStyle name="Normal 2 3" xfId="76"/>
    <cellStyle name="Normal 2 4" xfId="77"/>
    <cellStyle name="Normal 2 5" xfId="2"/>
    <cellStyle name="Normal 2 5 2" xfId="150"/>
    <cellStyle name="Normal 3" xfId="78"/>
    <cellStyle name="Normal 3 2" xfId="79"/>
    <cellStyle name="Normal 4" xfId="80"/>
    <cellStyle name="Normal 4 2" xfId="81"/>
    <cellStyle name="Normal 5" xfId="82"/>
    <cellStyle name="Normal 6" xfId="83"/>
    <cellStyle name="Normal 7" xfId="84"/>
    <cellStyle name="Normal 8" xfId="149"/>
    <cellStyle name="Normal 8 2" xfId="153"/>
    <cellStyle name="Normal 9" xfId="151"/>
    <cellStyle name="Note 2" xfId="85"/>
    <cellStyle name="Note 2 10" xfId="86"/>
    <cellStyle name="Note 2 11" xfId="87"/>
    <cellStyle name="Note 2 12" xfId="88"/>
    <cellStyle name="Note 2 2" xfId="89"/>
    <cellStyle name="Note 2 3" xfId="90"/>
    <cellStyle name="Note 2 4" xfId="91"/>
    <cellStyle name="Note 2 5" xfId="92"/>
    <cellStyle name="Note 2 6" xfId="93"/>
    <cellStyle name="Note 2 7" xfId="94"/>
    <cellStyle name="Note 2 8" xfId="95"/>
    <cellStyle name="Note 2 9" xfId="96"/>
    <cellStyle name="Note 3" xfId="97"/>
    <cellStyle name="Output 2" xfId="98"/>
    <cellStyle name="Output 2 10" xfId="99"/>
    <cellStyle name="Output 2 11" xfId="100"/>
    <cellStyle name="Output 2 12" xfId="101"/>
    <cellStyle name="Output 2 2" xfId="102"/>
    <cellStyle name="Output 2 3" xfId="103"/>
    <cellStyle name="Output 2 4" xfId="104"/>
    <cellStyle name="Output 2 5" xfId="105"/>
    <cellStyle name="Output 2 6" xfId="106"/>
    <cellStyle name="Output 2 7" xfId="107"/>
    <cellStyle name="Output 2 8" xfId="108"/>
    <cellStyle name="Output 2 9" xfId="109"/>
    <cellStyle name="Output 3" xfId="110"/>
    <cellStyle name="Percent 2" xfId="111"/>
    <cellStyle name="Total 2" xfId="112"/>
    <cellStyle name="Total 2 10" xfId="113"/>
    <cellStyle name="Total 2 11" xfId="114"/>
    <cellStyle name="Total 2 12" xfId="115"/>
    <cellStyle name="Total 2 2" xfId="116"/>
    <cellStyle name="Total 2 3" xfId="117"/>
    <cellStyle name="Total 2 4" xfId="118"/>
    <cellStyle name="Total 2 5" xfId="119"/>
    <cellStyle name="Total 2 6" xfId="120"/>
    <cellStyle name="Total 2 7" xfId="121"/>
    <cellStyle name="Total 2 8" xfId="122"/>
    <cellStyle name="Total 2 9" xfId="123"/>
    <cellStyle name="Total 3" xfId="124"/>
    <cellStyle name="一般_Recovery Timeframe" xfId="125"/>
    <cellStyle name="中等" xfId="126"/>
    <cellStyle name="備註" xfId="127"/>
    <cellStyle name="合計" xfId="128"/>
    <cellStyle name="壞" xfId="129"/>
    <cellStyle name="好" xfId="130"/>
    <cellStyle name="標題" xfId="131"/>
    <cellStyle name="標題 1" xfId="132"/>
    <cellStyle name="標題 2" xfId="133"/>
    <cellStyle name="標題 3" xfId="134"/>
    <cellStyle name="標題 4" xfId="135"/>
    <cellStyle name="檢查儲存格" xfId="136"/>
    <cellStyle name="計算方式" xfId="137"/>
    <cellStyle name="說明文字" xfId="138"/>
    <cellStyle name="警告文字" xfId="139"/>
    <cellStyle name="輔色1" xfId="140"/>
    <cellStyle name="輔色2" xfId="141"/>
    <cellStyle name="輔色3" xfId="142"/>
    <cellStyle name="輔色4" xfId="143"/>
    <cellStyle name="輔色5" xfId="144"/>
    <cellStyle name="輔色6" xfId="145"/>
    <cellStyle name="輸入" xfId="146"/>
    <cellStyle name="輸出" xfId="147"/>
    <cellStyle name="連結的儲存格" xfId="148"/>
  </cellStyles>
  <dxfs count="67">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patternType="none">
          <bgColor auto="1"/>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
      <fill>
        <patternFill>
          <bgColor rgb="FF92D050"/>
        </patternFill>
      </fill>
    </dxf>
    <dxf>
      <fill>
        <patternFill>
          <bgColor rgb="FFFF9900"/>
        </patternFill>
      </fill>
    </dxf>
    <dxf>
      <fill>
        <patternFill>
          <bgColor rgb="FFFF0000"/>
        </patternFill>
      </fill>
    </dxf>
  </dxfs>
  <tableStyles count="0" defaultTableStyle="TableStyleMedium2" defaultPivotStyle="PivotStyleLight16"/>
  <colors>
    <mruColors>
      <color rgb="FFFF99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lim10\Documents\MyActiveWorkInfo\MRC%20Projects%202017\DODID\Dodid%20SS507\SS507%20docs%20WIP\Dodid%20SS507-BCM%20RA%2020181221-3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lim10\AppData\Local\Temp\OneNote\14.0\NT\108\20131219%20ISMS%20A2_RA%20treatment%20Ngai%20Hen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MS%20SoA%20DRAFT%20201211-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lim10\Documents\MyActiveWorkFiles\Projects%202019\SG\QuESH%20(BLS)\QuESH%20BLS%20project%20docs\BLS%20ISMS\BLS%20ISMS%20RA&amp;RTP%2020190507-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L%20ISMS%20identify%20requirements%20&amp;%20legal%20register%20201211-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s &amp; Threats"/>
      <sheetName val="Cover (2)"/>
      <sheetName val="Cover"/>
      <sheetName val="1.0 Cascaded threats (BCM)"/>
      <sheetName val="1.1 Threats (Dodid)"/>
      <sheetName val="2.0 RA"/>
      <sheetName val="2.1 RA impact"/>
      <sheetName val="Guidelines"/>
      <sheetName val="2.2 Prioritized risks"/>
      <sheetName val="CatNet"/>
      <sheetName val="Key Risks Types"/>
      <sheetName val="Key Risks"/>
      <sheetName val="Threats list"/>
      <sheetName val="Severity"/>
      <sheetName val="Likelihood"/>
      <sheetName val="Impact (SE)"/>
      <sheetName val="Acceptance"/>
      <sheetName val="Policy-Framework"/>
      <sheetName val="RA-BIA flow"/>
      <sheetName val="Cascaded threats (example)"/>
      <sheetName val="RA (BCM) (sample)"/>
      <sheetName val="Prob"/>
      <sheetName val="Tolerance"/>
      <sheetName val="Cascaded threats (2)"/>
      <sheetName val="2.0 RA (2)"/>
    </sheetNames>
    <sheetDataSet>
      <sheetData sheetId="0"/>
      <sheetData sheetId="1"/>
      <sheetData sheetId="2"/>
      <sheetData sheetId="3"/>
      <sheetData sheetId="4"/>
      <sheetData sheetId="5"/>
      <sheetData sheetId="6"/>
      <sheetData sheetId="7"/>
      <sheetData sheetId="8"/>
      <sheetData sheetId="9"/>
      <sheetData sheetId="10"/>
      <sheetData sheetId="11">
        <row r="2">
          <cell r="A2" t="str">
            <v>NA</v>
          </cell>
        </row>
        <row r="3">
          <cell r="A3" t="str">
            <v>Unspecified</v>
          </cell>
        </row>
        <row r="4">
          <cell r="A4" t="str">
            <v>Fire (and explosion) affecting operations and business</v>
          </cell>
        </row>
        <row r="5">
          <cell r="A5" t="str">
            <v>Flood in areas surrounding building</v>
          </cell>
        </row>
        <row r="6">
          <cell r="A6" t="str">
            <v>Prolonged power failure within office and building</v>
          </cell>
        </row>
        <row r="7">
          <cell r="A7" t="str">
            <v>Centralised air-con system failure</v>
          </cell>
        </row>
        <row r="8">
          <cell r="A8" t="str">
            <v>Internal plumbing or sprinkler failure</v>
          </cell>
        </row>
        <row r="9">
          <cell r="A9" t="str">
            <v>Terrorist attack on building, other nearby buildings or vicinity</v>
          </cell>
        </row>
        <row r="10">
          <cell r="A10" t="str">
            <v>People-related risks (external)</v>
          </cell>
        </row>
        <row r="11">
          <cell r="A11" t="str">
            <v>People-related risks (internal)</v>
          </cell>
        </row>
        <row r="12">
          <cell r="A12" t="str">
            <v>IT system failure</v>
          </cell>
        </row>
        <row r="13">
          <cell r="A13" t="str">
            <v>Telecommunications failure</v>
          </cell>
        </row>
        <row r="14">
          <cell r="A14" t="str">
            <v>Infectious diseases or health issues</v>
          </cell>
        </row>
        <row r="15">
          <cell r="A15" t="str">
            <v>Supply-chain disruption</v>
          </cell>
        </row>
        <row r="16">
          <cell r="A16" t="str">
            <v>Soil erosion issues</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treatment table"/>
      <sheetName val="Options"/>
      <sheetName val="Controls"/>
    </sheetNames>
    <sheetDataSet>
      <sheetData sheetId="0" refreshError="1"/>
      <sheetData sheetId="1">
        <row r="3">
          <cell r="A3" t="str">
            <v>1. Selection of controls</v>
          </cell>
        </row>
        <row r="4">
          <cell r="A4" t="str">
            <v>2. Transfer of risks to a third party</v>
          </cell>
        </row>
        <row r="5">
          <cell r="A5" t="str">
            <v>3. Risk avoidance</v>
          </cell>
        </row>
        <row r="6">
          <cell r="A6" t="str">
            <v>4. Risk acceptance</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Applicability"/>
      <sheetName val="SoA"/>
      <sheetName val="SoA NOTES"/>
      <sheetName val="Lists"/>
    </sheetNames>
    <sheetDataSet>
      <sheetData sheetId="0"/>
      <sheetData sheetId="1"/>
      <sheetData sheetId="2"/>
      <sheetData sheetId="3"/>
      <sheetData sheetId="4">
        <row r="1">
          <cell r="A1" t="str">
            <v>ü</v>
          </cell>
        </row>
        <row r="2">
          <cell r="A2" t="str">
            <v>Ï</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A-RTP (2)"/>
      <sheetName val="Assets (2)"/>
      <sheetName val="RA-RTP"/>
      <sheetName val="Assets"/>
      <sheetName val="Master list"/>
      <sheetName val="Threats"/>
      <sheetName val="Vulnerabilities"/>
      <sheetName val="Owners"/>
      <sheetName val="Impact"/>
      <sheetName val="Likelihood"/>
      <sheetName val="Acceptance"/>
      <sheetName val="Controls"/>
      <sheetName val="RTP Options"/>
      <sheetName val="RTP status"/>
      <sheetName val="DCFM-assets-3Dec"/>
    </sheetNames>
    <sheetDataSet>
      <sheetData sheetId="0" refreshError="1"/>
      <sheetData sheetId="1" refreshError="1"/>
      <sheetData sheetId="2" refreshError="1"/>
      <sheetData sheetId="3" refreshError="1"/>
      <sheetData sheetId="4">
        <row r="2">
          <cell r="A2" t="str">
            <v>Email server</v>
          </cell>
        </row>
        <row r="3">
          <cell r="A3" t="str">
            <v>BMS main server</v>
          </cell>
        </row>
        <row r="4">
          <cell r="A4" t="str">
            <v>BMS workstation</v>
          </cell>
        </row>
        <row r="5">
          <cell r="A5" t="str">
            <v>Office Work PC</v>
          </cell>
        </row>
        <row r="6">
          <cell r="A6" t="str">
            <v>Firewall</v>
          </cell>
        </row>
        <row r="7">
          <cell r="A7" t="str">
            <v>Router</v>
          </cell>
        </row>
        <row r="8">
          <cell r="A8" t="str">
            <v>NAS</v>
          </cell>
        </row>
        <row r="9">
          <cell r="A9" t="str">
            <v>ACS-CCTV server</v>
          </cell>
        </row>
        <row r="10">
          <cell r="A10" t="str">
            <v>ACS-CCTV core switch</v>
          </cell>
        </row>
        <row r="11">
          <cell r="A11" t="str">
            <v>Chiller System Server</v>
          </cell>
        </row>
        <row r="12">
          <cell r="A12" t="str">
            <v>ACS-CCTV POE switch</v>
          </cell>
        </row>
        <row r="13">
          <cell r="A13" t="str">
            <v>EVMS server</v>
          </cell>
        </row>
        <row r="14">
          <cell r="A14" t="str">
            <v>EVMS Workstation</v>
          </cell>
        </row>
        <row r="15">
          <cell r="A15" t="str">
            <v>Fire Alarm Monitoring System</v>
          </cell>
        </row>
        <row r="16">
          <cell r="A16" t="str">
            <v>CCTV cameras</v>
          </cell>
        </row>
        <row r="17">
          <cell r="A17" t="str">
            <v>ACS and CCTV Workstation</v>
          </cell>
        </row>
        <row r="18">
          <cell r="A18" t="str">
            <v>ACS Card Access  Printing</v>
          </cell>
        </row>
        <row r="19">
          <cell r="A19" t="str">
            <v>Call Center PC</v>
          </cell>
        </row>
        <row r="20">
          <cell r="A20" t="str">
            <v>Call Center Recording</v>
          </cell>
        </row>
        <row r="21">
          <cell r="A21" t="str">
            <v>CCTV recording storage</v>
          </cell>
        </row>
        <row r="22">
          <cell r="A22" t="str">
            <v>CMMS Work Station</v>
          </cell>
        </row>
        <row r="23">
          <cell r="A23" t="str">
            <v>Chiller System BMS Workstation</v>
          </cell>
        </row>
        <row r="24">
          <cell r="A24" t="str">
            <v>Guard Tour Workstation</v>
          </cell>
        </row>
        <row r="25">
          <cell r="A25" t="str">
            <v>Shift Tech Common PC</v>
          </cell>
        </row>
        <row r="26">
          <cell r="A26" t="str">
            <v>UPS Battery Monitoring System</v>
          </cell>
        </row>
        <row r="27">
          <cell r="A27" t="str">
            <v>Paper-based documents</v>
          </cell>
        </row>
        <row r="28">
          <cell r="A28" t="str">
            <v>Digitized documents</v>
          </cell>
        </row>
        <row r="29">
          <cell r="A29" t="str">
            <v>Employees</v>
          </cell>
        </row>
        <row r="30">
          <cell r="A30" t="str">
            <v>Contractor staff</v>
          </cell>
        </row>
        <row r="31">
          <cell r="A31" t="str">
            <v>Software applications</v>
          </cell>
        </row>
        <row r="32">
          <cell r="A32" t="str">
            <v>Database files and records</v>
          </cell>
        </row>
        <row r="33">
          <cell r="A33" t="str">
            <v>Infrastructure</v>
          </cell>
        </row>
        <row r="34">
          <cell r="A34" t="str">
            <v>Outsourced processes &amp; services</v>
          </cell>
        </row>
      </sheetData>
      <sheetData sheetId="5">
        <row r="2">
          <cell r="E2" t="str">
            <v>Information Security Policy (ISMS-01)</v>
          </cell>
        </row>
        <row r="3">
          <cell r="E3" t="str">
            <v>Risk Assessment and Treatment Methodology (ISMS-02)</v>
          </cell>
        </row>
        <row r="4">
          <cell r="E4" t="str">
            <v>Procedures for Document and Record Control (ISMS-03)</v>
          </cell>
        </row>
        <row r="5">
          <cell r="E5" t="str">
            <v>Procedures for Identification of Requirements (ISMS-04)</v>
          </cell>
        </row>
        <row r="6">
          <cell r="E6" t="str">
            <v>Procedure for Internal Audit (ISMS-05)</v>
          </cell>
        </row>
        <row r="7">
          <cell r="E7" t="str">
            <v>Procedure for Corrective Action (ISMS-06)</v>
          </cell>
        </row>
        <row r="8">
          <cell r="E8" t="str">
            <v>Secure Development Policy (ISMS-07)</v>
          </cell>
        </row>
        <row r="9">
          <cell r="E9" t="str">
            <v>Supplier Security Policy (ISMS-08)</v>
          </cell>
        </row>
        <row r="10">
          <cell r="E10" t="str">
            <v>Policy on the Use of Cryptographic Controls (ISMS-09)</v>
          </cell>
        </row>
        <row r="11">
          <cell r="E11" t="str">
            <v>Clear Desk and Clear Screen Policy (ISMS-10)</v>
          </cell>
        </row>
        <row r="12">
          <cell r="E12" t="str">
            <v>Disposal and Destruction Policy (ISMS-11)</v>
          </cell>
        </row>
        <row r="13">
          <cell r="E13" t="str">
            <v>Procedures for Working in Secure Areas (ISMS-12)</v>
          </cell>
        </row>
        <row r="14">
          <cell r="E14" t="str">
            <v>Incident Management Procedure (ISMS-13)</v>
          </cell>
        </row>
        <row r="15">
          <cell r="E15" t="str">
            <v>Operating Procedures for Information and Communication Technology (ISMS-14)</v>
          </cell>
        </row>
        <row r="16">
          <cell r="E16" t="str">
            <v>Business Continuity Plan (BCP-01)</v>
          </cell>
        </row>
        <row r="17">
          <cell r="E17" t="str">
            <v>Statement of Applicability</v>
          </cell>
        </row>
        <row r="18">
          <cell r="E18" t="str">
            <v>Assets inventory list</v>
          </cell>
        </row>
        <row r="19">
          <cell r="E19" t="str">
            <v>Policy statement</v>
          </cell>
        </row>
        <row r="20">
          <cell r="E20" t="str">
            <v>Identification of requirements (appendix 5)</v>
          </cell>
        </row>
        <row r="21">
          <cell r="E21" t="str">
            <v>Risk Assessment Table (electronic form – Excel document)</v>
          </cell>
        </row>
        <row r="22">
          <cell r="E22" t="str">
            <v>Risk  Assessment Report</v>
          </cell>
        </row>
        <row r="23">
          <cell r="E23" t="str">
            <v>Risk Treatment Table (electronic form – Excel document)</v>
          </cell>
        </row>
        <row r="24">
          <cell r="E24" t="str">
            <v>Risk Assessment and Treatment Report (electronic form – PDF format)</v>
          </cell>
        </row>
        <row r="25">
          <cell r="E25" t="str">
            <v>Statement of Applicability (electronic form – PDF format)</v>
          </cell>
        </row>
        <row r="26">
          <cell r="E26" t="str">
            <v>Risk treatment plan (electronic form – Word document)</v>
          </cell>
        </row>
        <row r="27">
          <cell r="E27" t="str">
            <v>Management review meeting summary</v>
          </cell>
        </row>
        <row r="28">
          <cell r="E28" t="str">
            <v>Management review meeting minutes</v>
          </cell>
        </row>
        <row r="29">
          <cell r="E29" t="str">
            <v>Internal audit program</v>
          </cell>
        </row>
        <row r="30">
          <cell r="E30" t="str">
            <v>Internal audit checklist</v>
          </cell>
        </row>
        <row r="31">
          <cell r="E31" t="str">
            <v>Internal audit report</v>
          </cell>
        </row>
        <row r="32">
          <cell r="E32" t="str">
            <v>Corrective actions record</v>
          </cell>
        </row>
        <row r="33">
          <cell r="E33" t="str">
            <v>Training feedback and evaluation records</v>
          </cell>
        </row>
        <row r="34">
          <cell r="E34" t="str">
            <v>Criteria for classification of information</v>
          </cell>
        </row>
        <row r="35">
          <cell r="E35" t="str">
            <v>Legal register</v>
          </cell>
        </row>
        <row r="36">
          <cell r="E36" t="str">
            <v>Procedures for ACMV system maintenance (SOP-01)</v>
          </cell>
        </row>
        <row r="37">
          <cell r="E37" t="str">
            <v>Procedures for power failure (SOP-02)</v>
          </cell>
        </row>
        <row r="38">
          <cell r="E38" t="str">
            <v>Procedures for deployment of work (SOP-03)</v>
          </cell>
        </row>
        <row r="39">
          <cell r="E39" t="str">
            <v>Procedures for electrical maintenance (SOP-04)</v>
          </cell>
        </row>
      </sheetData>
      <sheetData sheetId="6">
        <row r="5">
          <cell r="B5" t="str">
            <v>accidental change of information system data</v>
          </cell>
        </row>
        <row r="6">
          <cell r="B6" t="str">
            <v>application errors</v>
          </cell>
        </row>
        <row r="7">
          <cell r="B7" t="str">
            <v>bomb attack</v>
          </cell>
        </row>
        <row r="8">
          <cell r="B8" t="str">
            <v>bomb threat</v>
          </cell>
        </row>
        <row r="9">
          <cell r="B9" t="str">
            <v>breach of contractual relations</v>
          </cell>
        </row>
        <row r="10">
          <cell r="B10" t="str">
            <v>breach of legislation</v>
          </cell>
        </row>
        <row r="11">
          <cell r="B11" t="str">
            <v>breakdown of communication links</v>
          </cell>
        </row>
        <row r="12">
          <cell r="B12" t="str">
            <v>concealing user identity</v>
          </cell>
        </row>
        <row r="13">
          <cell r="B13" t="str">
            <v>damage caused by third-party activities</v>
          </cell>
        </row>
        <row r="14">
          <cell r="B14" t="str">
            <v>damage incurred during penetration testing</v>
          </cell>
        </row>
        <row r="15">
          <cell r="B15" t="str">
            <v>destruction of records</v>
          </cell>
        </row>
        <row r="16">
          <cell r="B16" t="str">
            <v>deterioration of media</v>
          </cell>
        </row>
        <row r="17">
          <cell r="B17" t="str">
            <v>disclosure of passwords</v>
          </cell>
        </row>
        <row r="18">
          <cell r="B18" t="str">
            <v>eavesdropping</v>
          </cell>
        </row>
        <row r="19">
          <cell r="B19" t="str">
            <v>embezzlement</v>
          </cell>
        </row>
        <row r="20">
          <cell r="B20" t="str">
            <v>equipment failure</v>
          </cell>
        </row>
        <row r="21">
          <cell r="B21" t="str">
            <v>falsification of records</v>
          </cell>
        </row>
        <row r="22">
          <cell r="B22" t="str">
            <v>fire</v>
          </cell>
        </row>
        <row r="23">
          <cell r="B23" t="str">
            <v>flood</v>
          </cell>
        </row>
        <row r="24">
          <cell r="B24" t="str">
            <v>fraud</v>
          </cell>
        </row>
        <row r="25">
          <cell r="B25" t="str">
            <v>hacking or virus attack</v>
          </cell>
        </row>
        <row r="26">
          <cell r="B26" t="str">
            <v>industrial espionage</v>
          </cell>
        </row>
        <row r="27">
          <cell r="B27" t="str">
            <v>information interception</v>
          </cell>
        </row>
        <row r="28">
          <cell r="B28" t="str">
            <v>interruption of power supply</v>
          </cell>
        </row>
        <row r="29">
          <cell r="B29" t="str">
            <v>leakage/disclosure of information</v>
          </cell>
        </row>
        <row r="30">
          <cell r="B30" t="str">
            <v>loss of support services</v>
          </cell>
        </row>
        <row r="31">
          <cell r="B31" t="str">
            <v>maintenance errors</v>
          </cell>
        </row>
        <row r="32">
          <cell r="B32" t="str">
            <v>malicious code</v>
          </cell>
        </row>
        <row r="33">
          <cell r="B33" t="str">
            <v>misuse of audit tools</v>
          </cell>
        </row>
        <row r="34">
          <cell r="B34" t="str">
            <v>misuse of information systems</v>
          </cell>
        </row>
        <row r="35">
          <cell r="B35" t="str">
            <v>other disasters (man-made)</v>
          </cell>
        </row>
        <row r="36">
          <cell r="B36" t="str">
            <v>other disasters (natural)</v>
          </cell>
        </row>
        <row r="37">
          <cell r="B37" t="str">
            <v>pollution</v>
          </cell>
        </row>
        <row r="38">
          <cell r="B38" t="str">
            <v>social engineering</v>
          </cell>
        </row>
        <row r="39">
          <cell r="B39" t="str">
            <v>strike</v>
          </cell>
        </row>
        <row r="40">
          <cell r="B40" t="str">
            <v>lightning strike</v>
          </cell>
        </row>
        <row r="41">
          <cell r="B41" t="str">
            <v>terrorist attacks</v>
          </cell>
        </row>
        <row r="42">
          <cell r="B42" t="str">
            <v>theft</v>
          </cell>
        </row>
        <row r="43">
          <cell r="B43" t="str">
            <v>unauthorized access to the information system</v>
          </cell>
        </row>
        <row r="44">
          <cell r="B44" t="str">
            <v>unauthorized change of records</v>
          </cell>
        </row>
        <row r="45">
          <cell r="B45" t="str">
            <v>unauthorized installation of software</v>
          </cell>
        </row>
        <row r="46">
          <cell r="B46" t="str">
            <v>unauthorized network access</v>
          </cell>
        </row>
        <row r="47">
          <cell r="B47" t="str">
            <v>unauthorized physical access</v>
          </cell>
        </row>
        <row r="48">
          <cell r="B48" t="str">
            <v>unauthorized use of licensed materials</v>
          </cell>
        </row>
        <row r="49">
          <cell r="B49" t="str">
            <v>unauthorized use of software</v>
          </cell>
        </row>
        <row r="50">
          <cell r="B50" t="str">
            <v>use of unauthorized or untested code</v>
          </cell>
        </row>
        <row r="51">
          <cell r="B51" t="str">
            <v>user error</v>
          </cell>
        </row>
        <row r="52">
          <cell r="B52" t="str">
            <v>vandalism</v>
          </cell>
        </row>
        <row r="53">
          <cell r="B53" t="str">
            <v>Spill sensitive information</v>
          </cell>
        </row>
        <row r="54">
          <cell r="B54" t="str">
            <v>Mishandling of critical and/or sensitive information by authorized users</v>
          </cell>
        </row>
        <row r="55">
          <cell r="B55" t="str">
            <v>Incorrect privilege settings</v>
          </cell>
        </row>
        <row r="56">
          <cell r="B56" t="str">
            <v>Communications contention</v>
          </cell>
        </row>
        <row r="57">
          <cell r="B57" t="str">
            <v>Unreadable display</v>
          </cell>
        </row>
        <row r="58">
          <cell r="B58" t="str">
            <v>Earthquake at primary facility</v>
          </cell>
        </row>
        <row r="59">
          <cell r="B59" t="str">
            <v>Fire at primary facility</v>
          </cell>
        </row>
        <row r="60">
          <cell r="B60" t="str">
            <v>Fire at backup facility</v>
          </cell>
        </row>
        <row r="61">
          <cell r="B61" t="str">
            <v>Resource depletion</v>
          </cell>
        </row>
        <row r="62">
          <cell r="B62" t="str">
            <v>Introduction of vulnerabilities into software products</v>
          </cell>
        </row>
        <row r="63">
          <cell r="B63" t="str">
            <v>Disk error</v>
          </cell>
        </row>
        <row r="64">
          <cell r="B64" t="str">
            <v>Pervasive disk error</v>
          </cell>
        </row>
        <row r="65">
          <cell r="B65" t="str">
            <v>Perform perimeter network reconnaissance/scanning</v>
          </cell>
        </row>
        <row r="66">
          <cell r="B66" t="str">
            <v>Perform network sniffing of exposed networks</v>
          </cell>
        </row>
        <row r="67">
          <cell r="B67" t="str">
            <v>Gather information using open source discovery of organizational information</v>
          </cell>
        </row>
        <row r="68">
          <cell r="B68" t="str">
            <v>Perform reconnaissance and surveillance of targeted organizations</v>
          </cell>
        </row>
        <row r="69">
          <cell r="B69" t="str">
            <v>Perform malware-directed internal reconnaissance</v>
          </cell>
        </row>
        <row r="70">
          <cell r="B70" t="str">
            <v>Craft phishing attacks</v>
          </cell>
        </row>
        <row r="71">
          <cell r="B71" t="str">
            <v>Craft spear phishing attacks</v>
          </cell>
        </row>
        <row r="72">
          <cell r="B72" t="str">
            <v>Craft attacks specifically based on deployed information technology environment</v>
          </cell>
        </row>
        <row r="73">
          <cell r="B73" t="str">
            <v>Create counterfeit/spoof website</v>
          </cell>
        </row>
        <row r="74">
          <cell r="B74" t="str">
            <v>Craft counterfeit certificates</v>
          </cell>
        </row>
        <row r="75">
          <cell r="B75" t="str">
            <v>Create and operate false front organizations to inject malicious components into the supply chain</v>
          </cell>
        </row>
        <row r="76">
          <cell r="B76" t="str">
            <v>Deliver known malware to internal organizational information systems (e.g., virus via email)</v>
          </cell>
        </row>
        <row r="77">
          <cell r="B77" t="str">
            <v>Deliver modified malware to internal organizational information systems</v>
          </cell>
        </row>
        <row r="78">
          <cell r="B78" t="str">
            <v>Deliver targeted malware for control of internal systems and exfiltration of data</v>
          </cell>
        </row>
        <row r="79">
          <cell r="B79" t="str">
            <v>Deliver malware by providing removable media</v>
          </cell>
        </row>
        <row r="80">
          <cell r="B80" t="str">
            <v>Insert untargeted malware into downloadable software and/or into commercial information technology products</v>
          </cell>
        </row>
        <row r="81">
          <cell r="B81" t="str">
            <v>Insert targeted malware into organizational information systems and information system components</v>
          </cell>
        </row>
        <row r="82">
          <cell r="B82" t="str">
            <v>Insert specialized malware into organizational information systems based on system configurations</v>
          </cell>
        </row>
        <row r="83">
          <cell r="B83" t="str">
            <v>Insert counterfeit or tampered hardware into the supply chain</v>
          </cell>
        </row>
        <row r="84">
          <cell r="B84" t="str">
            <v>Insert tampered critical components into organizational systems</v>
          </cell>
        </row>
        <row r="85">
          <cell r="B85" t="str">
            <v>Install general-purpose sniffers on organization-controlled information systems or networks</v>
          </cell>
        </row>
        <row r="86">
          <cell r="B86" t="str">
            <v>Install persistent and targeted sniffers on organizational information systems and networks</v>
          </cell>
        </row>
        <row r="87">
          <cell r="B87" t="str">
            <v>Insert malicious scanning devices (e.g., wireless sniffers) inside facilities</v>
          </cell>
        </row>
        <row r="88">
          <cell r="B88" t="str">
            <v>Insert subverted individuals into organizations</v>
          </cell>
        </row>
        <row r="89">
          <cell r="B89" t="str">
            <v>Insert subverted individuals into privileged positions in organizations</v>
          </cell>
        </row>
        <row r="90">
          <cell r="B90" t="str">
            <v>Exploit physical access of authorized staff to gain access to organizational facilities</v>
          </cell>
        </row>
        <row r="91">
          <cell r="B91" t="str">
            <v>Exploit poorly configured or unauthorized information systems exposed to the Internet</v>
          </cell>
        </row>
        <row r="92">
          <cell r="B92" t="str">
            <v>Exploit split tunneling</v>
          </cell>
        </row>
        <row r="93">
          <cell r="B93" t="str">
            <v>Exploit multi-tenancy in a cloud environment</v>
          </cell>
        </row>
        <row r="94">
          <cell r="B94" t="str">
            <v>Exploit known vulnerabilities in mobile systems (e.g., laptops, PDAs, smart phones)</v>
          </cell>
        </row>
        <row r="95">
          <cell r="B95" t="str">
            <v>Exploit recently discovered vulnerabilities</v>
          </cell>
        </row>
        <row r="96">
          <cell r="B96" t="str">
            <v>Exploit vulnerabilities on internal organizational information systems</v>
          </cell>
        </row>
        <row r="97">
          <cell r="B97" t="str">
            <v>Exploit vulnerabilities using zero-day attacks</v>
          </cell>
        </row>
        <row r="98">
          <cell r="B98" t="str">
            <v>Exploit vulnerabilities in information systems timed with organizational mission/business operations tempo</v>
          </cell>
        </row>
        <row r="99">
          <cell r="B99" t="str">
            <v>Exploit insecure or incomplete data deletion in multi-tenant environment</v>
          </cell>
        </row>
        <row r="100">
          <cell r="B100" t="str">
            <v>Violate isolation in multi-tenant environment</v>
          </cell>
        </row>
        <row r="101">
          <cell r="B101" t="str">
            <v>Compromise critical information systems via physical access</v>
          </cell>
        </row>
        <row r="102">
          <cell r="B102" t="str">
            <v>Compromise information systems or devices used externally and reintroduced into the enterprise</v>
          </cell>
        </row>
        <row r="103">
          <cell r="B103" t="str">
            <v>Compromise software of organizational critical information systems</v>
          </cell>
        </row>
        <row r="104">
          <cell r="B104" t="str">
            <v>Compromise organizational information systems to facilitate exfiltration of data/information</v>
          </cell>
        </row>
        <row r="105">
          <cell r="B105" t="str">
            <v>Compromise mission-critical information</v>
          </cell>
        </row>
        <row r="106">
          <cell r="B106" t="str">
            <v>Compromise design, manufacture, and/or distribution of information system components (including hardware, software, and firmware)</v>
          </cell>
        </row>
        <row r="107">
          <cell r="B107" t="str">
            <v>Conduct communications interception attacks</v>
          </cell>
        </row>
        <row r="108">
          <cell r="B108" t="str">
            <v>Conduct wireless jamming attacks</v>
          </cell>
        </row>
        <row r="109">
          <cell r="B109" t="str">
            <v>Conduct attacks using unauthorized ports, protocols and services</v>
          </cell>
        </row>
        <row r="110">
          <cell r="B110" t="str">
            <v>Conduct attacks leveraging traffic/data movement allowed across perimeter</v>
          </cell>
        </row>
        <row r="111">
          <cell r="B111" t="str">
            <v>Conduct simple Denial of Service (DoS) attack</v>
          </cell>
        </row>
        <row r="112">
          <cell r="B112" t="str">
            <v>Conduct Distributed Denial of Service (DDoS) attacks</v>
          </cell>
        </row>
        <row r="113">
          <cell r="B113" t="str">
            <v>Conduct targeted Denial of Service (DoS) attacks</v>
          </cell>
        </row>
        <row r="114">
          <cell r="B114" t="str">
            <v>Conduct physical attacks on organizational facilities</v>
          </cell>
        </row>
        <row r="115">
          <cell r="B115" t="str">
            <v>Conduct physical attacks on infrastructures supporting organizational facilities</v>
          </cell>
        </row>
        <row r="116">
          <cell r="B116" t="str">
            <v>Conduct cyber-physical attacks on organizational facilities</v>
          </cell>
        </row>
        <row r="117">
          <cell r="B117" t="str">
            <v>Conduct data scavenging attacks in a cloud environment</v>
          </cell>
        </row>
        <row r="118">
          <cell r="B118" t="str">
            <v>Conduct brute force login attempts/password guessing attacks</v>
          </cell>
        </row>
        <row r="119">
          <cell r="B119" t="str">
            <v>Conduct nontargeted zero-day attacks</v>
          </cell>
        </row>
        <row r="120">
          <cell r="B120" t="str">
            <v>Conduct externally-based session hijacking</v>
          </cell>
        </row>
        <row r="121">
          <cell r="B121" t="str">
            <v>Conduct internally-based session hijacking</v>
          </cell>
        </row>
        <row r="122">
          <cell r="B122" t="str">
            <v>Conduct externally-based network traffic modification (man in the middle) attacks</v>
          </cell>
        </row>
        <row r="123">
          <cell r="B123" t="str">
            <v>Conduct internally-based network traffic modification (man in the middle) attacks</v>
          </cell>
        </row>
        <row r="124">
          <cell r="B124" t="str">
            <v>Conduct outsider-based social engineering to obtain information</v>
          </cell>
        </row>
        <row r="125">
          <cell r="B125" t="str">
            <v>Conduct insider-based social engineering to obtain information</v>
          </cell>
        </row>
        <row r="126">
          <cell r="B126" t="str">
            <v>Conduct attacks targeting and compromising personal devices of critical employees</v>
          </cell>
        </row>
        <row r="127">
          <cell r="B127" t="str">
            <v>Conduct supply chain attacks targeting and exploiting critical hardware, software, or firmware</v>
          </cell>
        </row>
        <row r="128">
          <cell r="B128" t="str">
            <v>Obtain sensitive information through network sniffing of external networks</v>
          </cell>
        </row>
        <row r="129">
          <cell r="B129" t="str">
            <v>Obtain sensitive information via exfiltration</v>
          </cell>
        </row>
        <row r="130">
          <cell r="B130" t="str">
            <v>Cause degradation or denial of attacker-selected services or capabilities</v>
          </cell>
        </row>
        <row r="131">
          <cell r="B131" t="str">
            <v>Cause deterioration/destruction of critical information system components and functions</v>
          </cell>
        </row>
        <row r="132">
          <cell r="B132" t="str">
            <v>Cause integrity loss by creating, deleting, and/or modifying data on publicly accessible information systems (e.g., web defacement)</v>
          </cell>
        </row>
        <row r="133">
          <cell r="B133" t="str">
            <v>Cause integrity loss by polluting or corrupting critical data</v>
          </cell>
        </row>
        <row r="134">
          <cell r="B134" t="str">
            <v>Cause integrity loss by injecting false but believable data into organizational information systems</v>
          </cell>
        </row>
        <row r="135">
          <cell r="B135" t="str">
            <v>Cause disclosure of critical and/or sensitive information by authorized users</v>
          </cell>
        </row>
        <row r="136">
          <cell r="B136" t="str">
            <v>Cause unauthorized disclosure and/or unavailability by spilling sensitive information</v>
          </cell>
        </row>
        <row r="137">
          <cell r="B137" t="str">
            <v>Obtain information by externally located interception of wireless network traffic</v>
          </cell>
        </row>
        <row r="138">
          <cell r="B138" t="str">
            <v>Obtain unauthorized access</v>
          </cell>
        </row>
        <row r="139">
          <cell r="B139" t="str">
            <v>Obtain sensitive data/information from publicly accessible information systems</v>
          </cell>
        </row>
        <row r="140">
          <cell r="B140" t="str">
            <v>Obtain information by opportunistically stealing or scavenging information systems/components</v>
          </cell>
        </row>
        <row r="141">
          <cell r="B141" t="str">
            <v>Obfuscate adversary actions</v>
          </cell>
        </row>
        <row r="142">
          <cell r="B142" t="str">
            <v>Adapt cyber attacks based on detailed surveillance</v>
          </cell>
        </row>
        <row r="143">
          <cell r="B143" t="str">
            <v>Coordinate a campaign of multi-staged attacks (e.g., hopping)</v>
          </cell>
        </row>
        <row r="144">
          <cell r="B144" t="str">
            <v>Coordinate a campaign that combines internal and external attacks across multiple information systems and information technologies</v>
          </cell>
        </row>
        <row r="145">
          <cell r="B145" t="str">
            <v>Coordinate campaigns across multiple organizations to acquire specific information or achieve desired outcome</v>
          </cell>
        </row>
        <row r="146">
          <cell r="B146" t="str">
            <v>Coordinate a campaign that spreads attacks across organizational systems from existing presence</v>
          </cell>
        </row>
        <row r="147">
          <cell r="B147" t="str">
            <v>Coordinate a campaign of continuous, adaptive, and changing cyber attacks based on detailed surveillance</v>
          </cell>
        </row>
        <row r="148">
          <cell r="B148" t="str">
            <v>Coordinate cyber attacks using external (outsider), internal (insider), and supply chain (supplier) attack vectors</v>
          </cell>
        </row>
      </sheetData>
      <sheetData sheetId="7">
        <row r="6">
          <cell r="B6" t="str">
            <v>active sessions after working hours</v>
          </cell>
        </row>
        <row r="7">
          <cell r="B7" t="str">
            <v>cable placing</v>
          </cell>
        </row>
        <row r="8">
          <cell r="B8" t="str">
            <v>complicated user interface</v>
          </cell>
        </row>
        <row r="9">
          <cell r="B9" t="str">
            <v>cryptographic keys accessible to unauthorized persons</v>
          </cell>
        </row>
        <row r="10">
          <cell r="B10" t="str">
            <v>disposal of storage media without erasing data</v>
          </cell>
        </row>
        <row r="11">
          <cell r="B11" t="str">
            <v>extensive powers</v>
          </cell>
        </row>
        <row r="12">
          <cell r="B12" t="str">
            <v>inadequate capacity management</v>
          </cell>
        </row>
        <row r="13">
          <cell r="B13" t="str">
            <v>inadequate change control</v>
          </cell>
        </row>
        <row r="14">
          <cell r="B14" t="str">
            <v>inadequate level of knowledge and/or awareness of employees</v>
          </cell>
        </row>
        <row r="15">
          <cell r="B15" t="str">
            <v>inadequate maintenance</v>
          </cell>
        </row>
        <row r="16">
          <cell r="B16" t="str">
            <v>inadequate network management</v>
          </cell>
        </row>
        <row r="17">
          <cell r="B17" t="str">
            <v>inadequate segregation of duties</v>
          </cell>
        </row>
        <row r="18">
          <cell r="B18" t="str">
            <v>inadequate supervision of external suppliers</v>
          </cell>
        </row>
        <row r="19">
          <cell r="B19" t="str">
            <v>inadequate supervision of the work of employees</v>
          </cell>
        </row>
        <row r="20">
          <cell r="B20" t="str">
            <v>inadequate user rights</v>
          </cell>
        </row>
        <row r="21">
          <cell r="B21" t="str">
            <v>information available to unauthorized persons</v>
          </cell>
        </row>
        <row r="22">
          <cell r="B22" t="str">
            <v>lack of evidence of sent or received messages</v>
          </cell>
        </row>
        <row r="23">
          <cell r="B23" t="str">
            <v>lack of input and output data control</v>
          </cell>
        </row>
        <row r="24">
          <cell r="B24" t="str">
            <v>lack of or poor internal audit implementation</v>
          </cell>
        </row>
        <row r="25">
          <cell r="B25" t="str">
            <v>lack of validation for processed data</v>
          </cell>
        </row>
        <row r="26">
          <cell r="B26" t="str">
            <v>location sensitive to natural disasters</v>
          </cell>
        </row>
        <row r="27">
          <cell r="B27" t="str">
            <v>location sensitive to water leakage</v>
          </cell>
        </row>
        <row r="28">
          <cell r="B28" t="str">
            <v>mobile equipment subject to theft</v>
          </cell>
        </row>
        <row r="29">
          <cell r="B29" t="str">
            <v>networks accessible to unauthorized persons</v>
          </cell>
        </row>
        <row r="30">
          <cell r="B30" t="str">
            <v>no deactivation of user accounts after termination of employment</v>
          </cell>
        </row>
        <row r="31">
          <cell r="B31" t="str">
            <v>no separation of test and operational environment</v>
          </cell>
        </row>
        <row r="32">
          <cell r="B32" t="str">
            <v>out-of-date databases for protection against malicious code</v>
          </cell>
        </row>
        <row r="33">
          <cell r="B33" t="str">
            <v>over-dependence on one device/system</v>
          </cell>
        </row>
        <row r="34">
          <cell r="B34" t="str">
            <v>poor selection of test data</v>
          </cell>
        </row>
        <row r="35">
          <cell r="B35" t="str">
            <v>sensitivity of equipment to humidity and pollution</v>
          </cell>
        </row>
        <row r="36">
          <cell r="B36" t="str">
            <v>sensitivity of equipment to temperature</v>
          </cell>
        </row>
        <row r="37">
          <cell r="B37" t="str">
            <v>sensitivity of equipment to voltage change</v>
          </cell>
        </row>
        <row r="38">
          <cell r="B38" t="str">
            <v>single copy, only one copy of information</v>
          </cell>
        </row>
        <row r="39">
          <cell r="B39" t="str">
            <v>system-generated user accounts and passwords remain unchanged</v>
          </cell>
        </row>
        <row r="40">
          <cell r="B40" t="str">
            <v>systems unprotected from unauthorized access</v>
          </cell>
        </row>
        <row r="41">
          <cell r="B41" t="str">
            <v>unauthorized access to facilities allowed</v>
          </cell>
        </row>
        <row r="42">
          <cell r="B42" t="str">
            <v>unclearly defined confidentiality level</v>
          </cell>
        </row>
        <row r="43">
          <cell r="B43" t="str">
            <v>unclearly defined cryptographic rules</v>
          </cell>
        </row>
        <row r="44">
          <cell r="B44" t="str">
            <v>unclearly defined organizational rules</v>
          </cell>
        </row>
        <row r="45">
          <cell r="B45" t="str">
            <v>unclearly defined requirements for software development</v>
          </cell>
        </row>
        <row r="46">
          <cell r="B46" t="str">
            <v>unclearly defined rules for access control</v>
          </cell>
        </row>
        <row r="47">
          <cell r="B47" t="str">
            <v>unclearly defined rules for working off-premises</v>
          </cell>
        </row>
        <row r="48">
          <cell r="B48" t="str">
            <v>uncontrolled copying</v>
          </cell>
        </row>
        <row r="49">
          <cell r="B49" t="str">
            <v>uncontrolled Internet downloads</v>
          </cell>
        </row>
        <row r="50">
          <cell r="B50" t="str">
            <v>uncontrolled use of information systems</v>
          </cell>
        </row>
        <row r="51">
          <cell r="B51" t="str">
            <v>undocumented software</v>
          </cell>
        </row>
        <row r="52">
          <cell r="B52" t="str">
            <v>unmotivated or disgruntled employees</v>
          </cell>
        </row>
        <row r="53">
          <cell r="B53" t="str">
            <v>unprotected public network connections</v>
          </cell>
        </row>
        <row r="54">
          <cell r="B54" t="str">
            <v>use of old equipment</v>
          </cell>
        </row>
        <row r="55">
          <cell r="B55" t="str">
            <v>weak passwords</v>
          </cell>
        </row>
      </sheetData>
      <sheetData sheetId="8">
        <row r="2">
          <cell r="B2" t="str">
            <v>CEO</v>
          </cell>
        </row>
        <row r="3">
          <cell r="B3" t="str">
            <v>FAM</v>
          </cell>
        </row>
        <row r="4">
          <cell r="B4" t="str">
            <v>HFM</v>
          </cell>
        </row>
        <row r="5">
          <cell r="B5" t="str">
            <v>QM</v>
          </cell>
        </row>
        <row r="6">
          <cell r="B6" t="str">
            <v xml:space="preserve">SO </v>
          </cell>
        </row>
        <row r="7">
          <cell r="B7" t="str">
            <v>SS</v>
          </cell>
        </row>
        <row r="8">
          <cell r="B8" t="str">
            <v>STC</v>
          </cell>
        </row>
        <row r="9">
          <cell r="B9" t="str">
            <v>Staff</v>
          </cell>
        </row>
        <row r="10">
          <cell r="B10" t="str">
            <v>TEC</v>
          </cell>
        </row>
      </sheetData>
      <sheetData sheetId="9">
        <row r="3">
          <cell r="A3">
            <v>5</v>
          </cell>
        </row>
        <row r="4">
          <cell r="A4">
            <v>4</v>
          </cell>
        </row>
        <row r="5">
          <cell r="A5">
            <v>3</v>
          </cell>
        </row>
        <row r="6">
          <cell r="A6">
            <v>2</v>
          </cell>
        </row>
        <row r="7">
          <cell r="A7">
            <v>1</v>
          </cell>
        </row>
        <row r="11">
          <cell r="A11">
            <v>5</v>
          </cell>
        </row>
        <row r="12">
          <cell r="A12">
            <v>4</v>
          </cell>
        </row>
        <row r="13">
          <cell r="A13">
            <v>3</v>
          </cell>
        </row>
        <row r="14">
          <cell r="A14">
            <v>2</v>
          </cell>
        </row>
        <row r="15">
          <cell r="A15">
            <v>1</v>
          </cell>
        </row>
        <row r="19">
          <cell r="A19">
            <v>5</v>
          </cell>
        </row>
        <row r="20">
          <cell r="A20">
            <v>4</v>
          </cell>
        </row>
        <row r="21">
          <cell r="A21">
            <v>3</v>
          </cell>
        </row>
        <row r="22">
          <cell r="A22">
            <v>2</v>
          </cell>
        </row>
        <row r="23">
          <cell r="A23">
            <v>1</v>
          </cell>
        </row>
      </sheetData>
      <sheetData sheetId="10">
        <row r="2">
          <cell r="A2">
            <v>5</v>
          </cell>
        </row>
        <row r="3">
          <cell r="A3">
            <v>4</v>
          </cell>
        </row>
        <row r="4">
          <cell r="A4">
            <v>3</v>
          </cell>
        </row>
        <row r="5">
          <cell r="A5">
            <v>2</v>
          </cell>
        </row>
        <row r="6">
          <cell r="A6">
            <v>1</v>
          </cell>
        </row>
      </sheetData>
      <sheetData sheetId="11" refreshError="1"/>
      <sheetData sheetId="12" refreshError="1"/>
      <sheetData sheetId="13">
        <row r="2">
          <cell r="A2" t="str">
            <v>Selection of controls</v>
          </cell>
        </row>
        <row r="3">
          <cell r="A3" t="str">
            <v>Transfer of risks to a third party</v>
          </cell>
        </row>
        <row r="4">
          <cell r="A4" t="str">
            <v>Risk avoidance</v>
          </cell>
        </row>
        <row r="5">
          <cell r="A5" t="str">
            <v>Risk acceptance</v>
          </cell>
        </row>
      </sheetData>
      <sheetData sheetId="14">
        <row r="2">
          <cell r="A2" t="str">
            <v>Annual review</v>
          </cell>
        </row>
        <row r="3">
          <cell r="A3" t="str">
            <v>Approved</v>
          </cell>
        </row>
        <row r="4">
          <cell r="A4" t="str">
            <v>Feasibility study</v>
          </cell>
        </row>
        <row r="5">
          <cell r="A5" t="str">
            <v>Implemented</v>
          </cell>
        </row>
        <row r="6">
          <cell r="A6" t="str">
            <v>Monitor</v>
          </cell>
        </row>
        <row r="7">
          <cell r="A7" t="str">
            <v>Pending approval</v>
          </cell>
        </row>
        <row r="8">
          <cell r="A8" t="str">
            <v>WIP</v>
          </cell>
        </row>
        <row r="9">
          <cell r="A9" t="str">
            <v>NA</v>
          </cell>
        </row>
      </sheetData>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troduction"/>
      <sheetName val="Applicability"/>
      <sheetName val="Gov"/>
      <sheetName val="Stakeholders"/>
      <sheetName val="Suppliers"/>
      <sheetName val="Customers"/>
      <sheetName val="Business Process"/>
      <sheetName val="Lookup 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Devops System Administration</v>
          </cell>
        </row>
        <row r="3">
          <cell r="A3" t="str">
            <v>HR and Finance Department</v>
          </cell>
        </row>
        <row r="4">
          <cell r="A4" t="str">
            <v>Project Manager</v>
          </cell>
        </row>
        <row r="5">
          <cell r="A5" t="str">
            <v>Sales and Marketing Director</v>
          </cell>
        </row>
        <row r="6">
          <cell r="A6" t="str">
            <v>Software Engineer</v>
          </cell>
        </row>
        <row r="7">
          <cell r="A7" t="str">
            <v>Tech Leader</v>
          </cell>
        </row>
        <row r="8">
          <cell r="A8" t="str">
            <v>&lt; fill-in blank &gt;</v>
          </cell>
        </row>
        <row r="9">
          <cell r="A9" t="str">
            <v>&lt; fill-in blank &gt;</v>
          </cell>
        </row>
        <row r="10">
          <cell r="A10" t="str">
            <v>&lt; fill-in blank &gt;</v>
          </cell>
        </row>
        <row r="11">
          <cell r="A11" t="str">
            <v>&lt; fill-in blank &gt;</v>
          </cell>
        </row>
        <row r="12">
          <cell r="A12" t="str">
            <v>&lt; fill-in blank &gt;</v>
          </cell>
        </row>
        <row r="13">
          <cell r="A13" t="str">
            <v>&lt; fill-in blank &gt;</v>
          </cell>
        </row>
        <row r="14">
          <cell r="A14" t="str">
            <v>&lt; fill-in blank &gt;</v>
          </cell>
        </row>
        <row r="15">
          <cell r="A15" t="str">
            <v>&lt; fill-in blank &gt;</v>
          </cell>
        </row>
        <row r="16">
          <cell r="A16" t="str">
            <v>&lt; fill-in blank &gt;</v>
          </cell>
        </row>
        <row r="17">
          <cell r="A17" t="str">
            <v>&lt; fill-in blank &gt;</v>
          </cell>
        </row>
        <row r="18">
          <cell r="A18" t="str">
            <v>&lt; fill-in blank &gt;</v>
          </cell>
        </row>
        <row r="19">
          <cell r="A19" t="str">
            <v>&lt; fill-in blank &gt;</v>
          </cell>
        </row>
        <row r="20">
          <cell r="A20" t="str">
            <v>&lt; fill-in blank &gt;</v>
          </cell>
        </row>
        <row r="21">
          <cell r="A21" t="str">
            <v>&lt; fill-in blank &gt;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16"/>
  <sheetViews>
    <sheetView showGridLines="0" zoomScale="120" zoomScaleNormal="120" workbookViewId="0">
      <pane xSplit="6" ySplit="16" topLeftCell="G17" activePane="bottomRight" state="frozenSplit"/>
      <selection pane="topRight" activeCell="G1" sqref="G1"/>
      <selection pane="bottomLeft" activeCell="A17" sqref="A17"/>
      <selection pane="bottomRight" activeCell="D18" sqref="D18"/>
    </sheetView>
  </sheetViews>
  <sheetFormatPr defaultRowHeight="15"/>
  <cols>
    <col min="1" max="1" width="18" style="63" customWidth="1"/>
    <col min="2" max="2" width="18.28515625" style="63" customWidth="1"/>
    <col min="3" max="3" width="33.42578125" style="63" customWidth="1"/>
    <col min="4" max="4" width="13.140625" style="63" customWidth="1"/>
    <col min="5" max="5" width="25.28515625" style="63" customWidth="1"/>
    <col min="6" max="6" width="2" style="63" customWidth="1"/>
    <col min="7" max="16384" width="9.140625" style="63"/>
  </cols>
  <sheetData>
    <row r="1" spans="2:5" ht="15.75" customHeight="1">
      <c r="B1"/>
      <c r="C1"/>
      <c r="D1"/>
      <c r="E1"/>
    </row>
    <row r="2" spans="2:5" ht="13.5" customHeight="1">
      <c r="B2"/>
      <c r="C2"/>
      <c r="D2"/>
      <c r="E2"/>
    </row>
    <row r="3" spans="2:5">
      <c r="B3"/>
      <c r="C3"/>
      <c r="D3"/>
      <c r="E3"/>
    </row>
    <row r="4" spans="2:5">
      <c r="B4"/>
      <c r="C4"/>
      <c r="D4"/>
      <c r="E4"/>
    </row>
    <row r="5" spans="2:5" ht="15.75" customHeight="1">
      <c r="B5"/>
      <c r="C5"/>
      <c r="D5"/>
      <c r="E5"/>
    </row>
    <row r="6" spans="2:5" ht="12.75" customHeight="1">
      <c r="B6"/>
      <c r="C6"/>
      <c r="D6"/>
      <c r="E6"/>
    </row>
    <row r="7" spans="2:5" ht="12.75" customHeight="1">
      <c r="B7"/>
      <c r="C7"/>
      <c r="D7"/>
      <c r="E7"/>
    </row>
    <row r="8" spans="2:5">
      <c r="B8"/>
      <c r="C8"/>
      <c r="D8"/>
      <c r="E8"/>
    </row>
    <row r="9" spans="2:5" ht="20.25" customHeight="1">
      <c r="B9" s="125" t="s">
        <v>693</v>
      </c>
      <c r="C9" s="126" t="s">
        <v>824</v>
      </c>
      <c r="D9" s="126"/>
      <c r="E9" s="126"/>
    </row>
    <row r="10" spans="2:5" ht="20.25" hidden="1" customHeight="1">
      <c r="B10" s="125" t="s">
        <v>564</v>
      </c>
      <c r="C10" s="127"/>
      <c r="D10" s="128"/>
      <c r="E10" s="129"/>
    </row>
    <row r="11" spans="2:5" ht="20.25" customHeight="1">
      <c r="B11" s="125" t="s">
        <v>694</v>
      </c>
      <c r="C11" s="130" t="s">
        <v>854</v>
      </c>
      <c r="D11" s="131"/>
      <c r="E11" s="132"/>
    </row>
    <row r="12" spans="2:5" ht="20.25" customHeight="1">
      <c r="B12" s="125" t="s">
        <v>565</v>
      </c>
      <c r="C12" s="126" t="s">
        <v>691</v>
      </c>
      <c r="D12" s="126"/>
      <c r="E12" s="126"/>
    </row>
    <row r="13" spans="2:5" ht="20.25" customHeight="1">
      <c r="B13" s="75" t="s">
        <v>567</v>
      </c>
      <c r="C13" s="121" t="s">
        <v>695</v>
      </c>
      <c r="D13" s="125" t="s">
        <v>742</v>
      </c>
      <c r="E13" s="122" t="s">
        <v>452</v>
      </c>
    </row>
    <row r="14" spans="2:5" ht="20.25" customHeight="1">
      <c r="B14" s="75" t="s">
        <v>741</v>
      </c>
      <c r="C14" s="123" t="s">
        <v>230</v>
      </c>
      <c r="D14" s="125" t="s">
        <v>743</v>
      </c>
      <c r="E14" s="124">
        <v>0</v>
      </c>
    </row>
    <row r="15" spans="2:5" ht="20.25" customHeight="1">
      <c r="B15" s="125" t="s">
        <v>696</v>
      </c>
      <c r="C15" s="123" t="s">
        <v>740</v>
      </c>
      <c r="D15" s="125" t="s">
        <v>566</v>
      </c>
      <c r="E15" s="122">
        <v>44104</v>
      </c>
    </row>
    <row r="16" spans="2:5" ht="20.25" customHeight="1">
      <c r="B16" s="125" t="s">
        <v>697</v>
      </c>
      <c r="C16" s="123"/>
      <c r="D16" s="125" t="s">
        <v>566</v>
      </c>
      <c r="E16" s="122">
        <f>DATE(YEAR(E15),MONTH(E15),DAY(E15)+14)</f>
        <v>44118</v>
      </c>
    </row>
  </sheetData>
  <mergeCells count="4">
    <mergeCell ref="C9:E9"/>
    <mergeCell ref="C10:E10"/>
    <mergeCell ref="C11:E11"/>
    <mergeCell ref="C12: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R369"/>
  <sheetViews>
    <sheetView showGridLines="0" zoomScale="120" zoomScaleNormal="120" workbookViewId="0">
      <pane xSplit="5" ySplit="2" topLeftCell="F94" activePane="bottomRight" state="frozenSplit"/>
      <selection activeCell="C10" sqref="C10:E10"/>
      <selection pane="topRight" activeCell="C10" sqref="C10:E10"/>
      <selection pane="bottomLeft" activeCell="C10" sqref="C10:E10"/>
      <selection pane="bottomRight" activeCell="A96" sqref="A96:XFD96"/>
    </sheetView>
  </sheetViews>
  <sheetFormatPr defaultRowHeight="15"/>
  <cols>
    <col min="1" max="1" width="5.5703125" style="36" customWidth="1"/>
    <col min="2" max="2" width="13.85546875" style="33" customWidth="1"/>
    <col min="3" max="3" width="12.42578125" style="33" customWidth="1"/>
    <col min="4" max="4" width="19.5703125" style="33" customWidth="1"/>
    <col min="5" max="5" width="42" style="33" customWidth="1"/>
    <col min="6" max="6" width="11.42578125" style="33" customWidth="1"/>
    <col min="7" max="9" width="11.42578125" style="36" customWidth="1"/>
    <col min="10" max="10" width="9" style="36" customWidth="1"/>
    <col min="11" max="11" width="12.5703125" style="36" customWidth="1"/>
    <col min="12" max="12" width="7.5703125" style="36" customWidth="1"/>
    <col min="13" max="13" width="36.5703125" style="33" customWidth="1"/>
    <col min="14" max="14" width="22.7109375" customWidth="1"/>
    <col min="15" max="15" width="22" customWidth="1"/>
    <col min="16" max="16" width="8.5703125" customWidth="1"/>
    <col min="17" max="17" width="12.5703125" customWidth="1"/>
    <col min="18" max="18" width="13.5703125" customWidth="1"/>
  </cols>
  <sheetData>
    <row r="1" spans="1:18" ht="18.75">
      <c r="A1" s="133" t="s">
        <v>704</v>
      </c>
      <c r="B1" s="134"/>
      <c r="C1" s="134"/>
      <c r="D1" s="134"/>
      <c r="E1" s="134"/>
      <c r="F1" s="134"/>
      <c r="G1" s="134"/>
      <c r="H1" s="134"/>
      <c r="I1" s="134"/>
      <c r="J1" s="134"/>
      <c r="K1" s="134"/>
      <c r="L1" s="134"/>
      <c r="M1" s="135"/>
      <c r="N1" s="136" t="s">
        <v>660</v>
      </c>
      <c r="O1" s="137"/>
      <c r="P1" s="137"/>
      <c r="Q1" s="137"/>
      <c r="R1" s="137"/>
    </row>
    <row r="2" spans="1:18" s="12" customFormat="1" ht="30">
      <c r="A2" s="51" t="s">
        <v>0</v>
      </c>
      <c r="B2" s="51" t="s">
        <v>437</v>
      </c>
      <c r="C2" s="51" t="s">
        <v>1</v>
      </c>
      <c r="D2" s="51" t="s">
        <v>2</v>
      </c>
      <c r="E2" s="51" t="s">
        <v>3</v>
      </c>
      <c r="F2" s="51" t="s">
        <v>4</v>
      </c>
      <c r="G2" s="51" t="s">
        <v>551</v>
      </c>
      <c r="H2" s="51" t="s">
        <v>552</v>
      </c>
      <c r="I2" s="51" t="s">
        <v>568</v>
      </c>
      <c r="J2" s="51" t="s">
        <v>5</v>
      </c>
      <c r="K2" s="51" t="s">
        <v>6</v>
      </c>
      <c r="L2" s="51" t="s">
        <v>7</v>
      </c>
      <c r="M2" s="51" t="s">
        <v>8</v>
      </c>
      <c r="N2" s="59" t="s">
        <v>661</v>
      </c>
      <c r="O2" s="59" t="s">
        <v>662</v>
      </c>
      <c r="P2" s="59" t="s">
        <v>663</v>
      </c>
      <c r="Q2" s="59" t="s">
        <v>666</v>
      </c>
      <c r="R2" s="59" t="s">
        <v>664</v>
      </c>
    </row>
    <row r="3" spans="1:18" s="7" customFormat="1" ht="102" customHeight="1">
      <c r="A3" s="47">
        <v>1</v>
      </c>
      <c r="B3" s="44" t="s">
        <v>749</v>
      </c>
      <c r="C3" s="37" t="s">
        <v>744</v>
      </c>
      <c r="D3" s="31" t="s">
        <v>112</v>
      </c>
      <c r="E3" s="31" t="s">
        <v>569</v>
      </c>
      <c r="F3" s="37" t="s">
        <v>744</v>
      </c>
      <c r="G3" s="34">
        <v>5</v>
      </c>
      <c r="H3" s="34">
        <v>5</v>
      </c>
      <c r="I3" s="34">
        <v>5</v>
      </c>
      <c r="J3" s="35">
        <f>IF(MAX(G3:I3)=0,"",MAX(G3:I3))</f>
        <v>5</v>
      </c>
      <c r="K3" s="35">
        <v>1</v>
      </c>
      <c r="L3" s="34">
        <f>IFERROR(J3*K3,"")</f>
        <v>5</v>
      </c>
      <c r="M3" s="42" t="s">
        <v>571</v>
      </c>
      <c r="N3" s="61" t="s">
        <v>673</v>
      </c>
      <c r="O3" s="61" t="s">
        <v>665</v>
      </c>
      <c r="P3" s="37" t="s">
        <v>748</v>
      </c>
      <c r="Q3" s="37" t="s">
        <v>679</v>
      </c>
      <c r="R3" s="62">
        <v>43739</v>
      </c>
    </row>
    <row r="4" spans="1:18" s="7" customFormat="1" ht="45">
      <c r="A4" s="48"/>
      <c r="B4" s="45"/>
      <c r="C4" s="38"/>
      <c r="D4" s="31" t="s">
        <v>11</v>
      </c>
      <c r="E4" s="31" t="s">
        <v>67</v>
      </c>
      <c r="F4" s="38" t="str">
        <f>IF($C4&lt;&gt;"",C4,"")</f>
        <v/>
      </c>
      <c r="G4" s="34">
        <v>1</v>
      </c>
      <c r="H4" s="34">
        <v>1</v>
      </c>
      <c r="I4" s="34">
        <v>5</v>
      </c>
      <c r="J4" s="35">
        <f t="shared" ref="J4:J14" si="0">IF(MAX(G4:I4)=0,"",MAX(G4:I4))</f>
        <v>5</v>
      </c>
      <c r="K4" s="35">
        <v>1</v>
      </c>
      <c r="L4" s="34">
        <f t="shared" ref="L4:L14" si="1">IFERROR(J4*K4,"")</f>
        <v>5</v>
      </c>
      <c r="M4" s="42" t="s">
        <v>786</v>
      </c>
      <c r="N4" s="61" t="s">
        <v>673</v>
      </c>
      <c r="O4" s="61" t="s">
        <v>672</v>
      </c>
      <c r="P4" s="37"/>
      <c r="Q4" s="37" t="s">
        <v>679</v>
      </c>
      <c r="R4" s="60"/>
    </row>
    <row r="5" spans="1:18" s="7" customFormat="1" ht="60">
      <c r="A5" s="48"/>
      <c r="B5" s="45"/>
      <c r="C5" s="38"/>
      <c r="D5" s="31" t="s">
        <v>25</v>
      </c>
      <c r="E5" s="31" t="s">
        <v>69</v>
      </c>
      <c r="F5" s="38" t="str">
        <f>IF($C5&lt;&gt;"",C5,"")</f>
        <v/>
      </c>
      <c r="G5" s="34">
        <v>1</v>
      </c>
      <c r="H5" s="34">
        <v>1</v>
      </c>
      <c r="I5" s="34">
        <v>5</v>
      </c>
      <c r="J5" s="35">
        <f t="shared" si="0"/>
        <v>5</v>
      </c>
      <c r="K5" s="35">
        <v>1</v>
      </c>
      <c r="L5" s="34">
        <f t="shared" si="1"/>
        <v>5</v>
      </c>
      <c r="M5" s="42" t="s">
        <v>570</v>
      </c>
      <c r="N5" s="61" t="s">
        <v>673</v>
      </c>
      <c r="O5" s="61" t="s">
        <v>677</v>
      </c>
      <c r="P5" s="37"/>
      <c r="Q5" s="37" t="s">
        <v>679</v>
      </c>
      <c r="R5" s="60"/>
    </row>
    <row r="6" spans="1:18" s="7" customFormat="1" ht="75">
      <c r="A6" s="48"/>
      <c r="B6" s="45"/>
      <c r="C6" s="38"/>
      <c r="D6" s="31" t="s">
        <v>25</v>
      </c>
      <c r="E6" s="31" t="s">
        <v>81</v>
      </c>
      <c r="F6" s="38"/>
      <c r="G6" s="34">
        <v>1</v>
      </c>
      <c r="H6" s="34">
        <v>1</v>
      </c>
      <c r="I6" s="34">
        <v>5</v>
      </c>
      <c r="J6" s="35">
        <f t="shared" si="0"/>
        <v>5</v>
      </c>
      <c r="K6" s="35">
        <v>1</v>
      </c>
      <c r="L6" s="34">
        <f t="shared" si="1"/>
        <v>5</v>
      </c>
      <c r="M6" s="42" t="s">
        <v>787</v>
      </c>
      <c r="N6" s="61" t="s">
        <v>673</v>
      </c>
      <c r="O6" s="61" t="s">
        <v>677</v>
      </c>
      <c r="P6" s="37"/>
      <c r="Q6" s="37" t="s">
        <v>679</v>
      </c>
      <c r="R6" s="60"/>
    </row>
    <row r="7" spans="1:18" s="7" customFormat="1" ht="60">
      <c r="A7" s="48"/>
      <c r="B7" s="45"/>
      <c r="C7" s="38"/>
      <c r="D7" s="31" t="s">
        <v>25</v>
      </c>
      <c r="E7" s="31" t="s">
        <v>90</v>
      </c>
      <c r="F7" s="38"/>
      <c r="G7" s="34">
        <v>1</v>
      </c>
      <c r="H7" s="34">
        <v>1</v>
      </c>
      <c r="I7" s="34">
        <v>5</v>
      </c>
      <c r="J7" s="35">
        <f t="shared" si="0"/>
        <v>5</v>
      </c>
      <c r="K7" s="35">
        <v>1</v>
      </c>
      <c r="L7" s="34">
        <f t="shared" si="1"/>
        <v>5</v>
      </c>
      <c r="M7" s="42" t="s">
        <v>572</v>
      </c>
      <c r="N7" s="61" t="s">
        <v>673</v>
      </c>
      <c r="O7" s="61" t="s">
        <v>677</v>
      </c>
      <c r="P7" s="37"/>
      <c r="Q7" s="37" t="s">
        <v>679</v>
      </c>
      <c r="R7" s="60"/>
    </row>
    <row r="8" spans="1:18" s="7" customFormat="1" ht="60">
      <c r="A8" s="48"/>
      <c r="B8" s="45"/>
      <c r="C8" s="38"/>
      <c r="D8" s="31" t="s">
        <v>25</v>
      </c>
      <c r="E8" s="31" t="s">
        <v>91</v>
      </c>
      <c r="F8" s="38"/>
      <c r="G8" s="34">
        <v>1</v>
      </c>
      <c r="H8" s="34">
        <v>1</v>
      </c>
      <c r="I8" s="34">
        <v>5</v>
      </c>
      <c r="J8" s="35">
        <f t="shared" si="0"/>
        <v>5</v>
      </c>
      <c r="K8" s="35">
        <v>1</v>
      </c>
      <c r="L8" s="34">
        <f t="shared" si="1"/>
        <v>5</v>
      </c>
      <c r="M8" s="42" t="s">
        <v>788</v>
      </c>
      <c r="N8" s="61" t="s">
        <v>673</v>
      </c>
      <c r="O8" s="61" t="s">
        <v>677</v>
      </c>
      <c r="P8" s="37"/>
      <c r="Q8" s="37" t="s">
        <v>679</v>
      </c>
      <c r="R8" s="60"/>
    </row>
    <row r="9" spans="1:18" s="7" customFormat="1" ht="127.5" customHeight="1">
      <c r="A9" s="48"/>
      <c r="B9" s="45"/>
      <c r="C9" s="38"/>
      <c r="D9" s="31" t="s">
        <v>27</v>
      </c>
      <c r="E9" s="31" t="s">
        <v>80</v>
      </c>
      <c r="F9" s="38" t="str">
        <f t="shared" ref="F9:F14" si="2">IF($C9&lt;&gt;"",C9,"")</f>
        <v/>
      </c>
      <c r="G9" s="34">
        <v>1</v>
      </c>
      <c r="H9" s="34">
        <v>1</v>
      </c>
      <c r="I9" s="34">
        <v>5</v>
      </c>
      <c r="J9" s="35">
        <f t="shared" si="0"/>
        <v>5</v>
      </c>
      <c r="K9" s="35">
        <v>1</v>
      </c>
      <c r="L9" s="34">
        <f t="shared" si="1"/>
        <v>5</v>
      </c>
      <c r="M9" s="42" t="s">
        <v>789</v>
      </c>
      <c r="N9" s="61" t="s">
        <v>676</v>
      </c>
      <c r="O9" s="61" t="s">
        <v>678</v>
      </c>
      <c r="P9" s="37"/>
      <c r="Q9" s="37" t="s">
        <v>680</v>
      </c>
      <c r="R9" s="60"/>
    </row>
    <row r="10" spans="1:18" s="7" customFormat="1" ht="72.75" customHeight="1">
      <c r="A10" s="48"/>
      <c r="B10" s="45"/>
      <c r="C10" s="38"/>
      <c r="D10" s="31" t="s">
        <v>32</v>
      </c>
      <c r="E10" s="31" t="s">
        <v>91</v>
      </c>
      <c r="F10" s="38" t="str">
        <f t="shared" si="2"/>
        <v/>
      </c>
      <c r="G10" s="34">
        <v>1</v>
      </c>
      <c r="H10" s="34">
        <v>1</v>
      </c>
      <c r="I10" s="34">
        <v>5</v>
      </c>
      <c r="J10" s="35">
        <f t="shared" si="0"/>
        <v>5</v>
      </c>
      <c r="K10" s="35">
        <v>1</v>
      </c>
      <c r="L10" s="34">
        <f t="shared" si="1"/>
        <v>5</v>
      </c>
      <c r="M10" s="42" t="s">
        <v>576</v>
      </c>
      <c r="N10" s="61" t="s">
        <v>676</v>
      </c>
      <c r="O10" s="61" t="s">
        <v>678</v>
      </c>
      <c r="P10" s="37"/>
      <c r="Q10" s="37" t="s">
        <v>680</v>
      </c>
      <c r="R10" s="61"/>
    </row>
    <row r="11" spans="1:18" s="7" customFormat="1" ht="72.75" customHeight="1">
      <c r="A11" s="48"/>
      <c r="B11" s="45"/>
      <c r="C11" s="38"/>
      <c r="D11" s="31" t="s">
        <v>38</v>
      </c>
      <c r="E11" s="31" t="s">
        <v>68</v>
      </c>
      <c r="F11" s="38" t="str">
        <f t="shared" si="2"/>
        <v/>
      </c>
      <c r="G11" s="34">
        <v>5</v>
      </c>
      <c r="H11" s="34">
        <v>1</v>
      </c>
      <c r="I11" s="34">
        <v>1</v>
      </c>
      <c r="J11" s="35">
        <f t="shared" si="0"/>
        <v>5</v>
      </c>
      <c r="K11" s="35">
        <v>1</v>
      </c>
      <c r="L11" s="41">
        <f t="shared" si="1"/>
        <v>5</v>
      </c>
      <c r="M11" s="42" t="s">
        <v>578</v>
      </c>
      <c r="N11" s="61" t="s">
        <v>673</v>
      </c>
      <c r="O11" s="61" t="s">
        <v>682</v>
      </c>
      <c r="P11" s="37"/>
      <c r="Q11" s="37" t="s">
        <v>679</v>
      </c>
      <c r="R11" s="61"/>
    </row>
    <row r="12" spans="1:18" s="7" customFormat="1" ht="80.25" customHeight="1">
      <c r="A12" s="48"/>
      <c r="B12" s="45"/>
      <c r="C12" s="38"/>
      <c r="D12" s="31" t="s">
        <v>38</v>
      </c>
      <c r="E12" s="31" t="s">
        <v>72</v>
      </c>
      <c r="F12" s="38" t="str">
        <f t="shared" si="2"/>
        <v/>
      </c>
      <c r="G12" s="34">
        <v>5</v>
      </c>
      <c r="H12" s="34">
        <v>5</v>
      </c>
      <c r="I12" s="34">
        <v>5</v>
      </c>
      <c r="J12" s="35">
        <f t="shared" si="0"/>
        <v>5</v>
      </c>
      <c r="K12" s="35">
        <v>1</v>
      </c>
      <c r="L12" s="41">
        <f t="shared" si="1"/>
        <v>5</v>
      </c>
      <c r="M12" s="42" t="s">
        <v>577</v>
      </c>
      <c r="N12" s="61" t="s">
        <v>673</v>
      </c>
      <c r="O12" s="61" t="s">
        <v>683</v>
      </c>
      <c r="P12" s="37"/>
      <c r="Q12" s="37" t="s">
        <v>679</v>
      </c>
      <c r="R12" s="61"/>
    </row>
    <row r="13" spans="1:18" s="7" customFormat="1" ht="60">
      <c r="A13" s="48"/>
      <c r="B13" s="45"/>
      <c r="C13" s="38"/>
      <c r="D13" s="31" t="s">
        <v>21</v>
      </c>
      <c r="E13" s="31" t="s">
        <v>579</v>
      </c>
      <c r="F13" s="38" t="str">
        <f t="shared" si="2"/>
        <v/>
      </c>
      <c r="G13" s="34">
        <v>1</v>
      </c>
      <c r="H13" s="34">
        <v>1</v>
      </c>
      <c r="I13" s="34">
        <v>5</v>
      </c>
      <c r="J13" s="35">
        <f t="shared" si="0"/>
        <v>5</v>
      </c>
      <c r="K13" s="35">
        <v>1</v>
      </c>
      <c r="L13" s="41">
        <f t="shared" si="1"/>
        <v>5</v>
      </c>
      <c r="M13" s="42" t="s">
        <v>580</v>
      </c>
      <c r="N13" s="61" t="s">
        <v>673</v>
      </c>
      <c r="O13" s="60" t="s">
        <v>677</v>
      </c>
      <c r="P13" s="37"/>
      <c r="Q13" s="37" t="s">
        <v>679</v>
      </c>
      <c r="R13" s="60"/>
    </row>
    <row r="14" spans="1:18" s="7" customFormat="1" ht="135">
      <c r="A14" s="49"/>
      <c r="B14" s="46"/>
      <c r="C14" s="39"/>
      <c r="D14" s="31" t="s">
        <v>31</v>
      </c>
      <c r="E14" s="31" t="s">
        <v>581</v>
      </c>
      <c r="F14" s="39" t="str">
        <f t="shared" si="2"/>
        <v/>
      </c>
      <c r="G14" s="34">
        <v>5</v>
      </c>
      <c r="H14" s="34">
        <v>5</v>
      </c>
      <c r="I14" s="34">
        <v>1</v>
      </c>
      <c r="J14" s="35">
        <f t="shared" si="0"/>
        <v>5</v>
      </c>
      <c r="K14" s="35">
        <v>1</v>
      </c>
      <c r="L14" s="41">
        <f t="shared" si="1"/>
        <v>5</v>
      </c>
      <c r="M14" s="42" t="s">
        <v>582</v>
      </c>
      <c r="N14" s="61" t="s">
        <v>673</v>
      </c>
      <c r="O14" s="61" t="s">
        <v>684</v>
      </c>
      <c r="P14" s="37"/>
      <c r="Q14" s="37" t="s">
        <v>679</v>
      </c>
      <c r="R14" s="61"/>
    </row>
    <row r="15" spans="1:18" s="7" customFormat="1" ht="179.25" customHeight="1">
      <c r="A15" s="47">
        <v>2</v>
      </c>
      <c r="B15" s="44" t="s">
        <v>767</v>
      </c>
      <c r="C15" s="37" t="s">
        <v>744</v>
      </c>
      <c r="D15" s="31" t="s">
        <v>112</v>
      </c>
      <c r="E15" s="31" t="s">
        <v>790</v>
      </c>
      <c r="F15" s="37" t="s">
        <v>744</v>
      </c>
      <c r="G15" s="34">
        <v>5</v>
      </c>
      <c r="H15" s="34">
        <v>5</v>
      </c>
      <c r="I15" s="34">
        <v>5</v>
      </c>
      <c r="J15" s="35">
        <f>IF(MAX(G15:I15)=0,"",MAX(G15:I15))</f>
        <v>5</v>
      </c>
      <c r="K15" s="35">
        <v>1</v>
      </c>
      <c r="L15" s="34">
        <f>IFERROR(J15*K15,"")</f>
        <v>5</v>
      </c>
      <c r="M15" s="42" t="s">
        <v>783</v>
      </c>
      <c r="N15" s="61" t="s">
        <v>673</v>
      </c>
      <c r="O15" s="61" t="s">
        <v>685</v>
      </c>
      <c r="P15" s="37" t="s">
        <v>748</v>
      </c>
      <c r="Q15" s="37" t="s">
        <v>679</v>
      </c>
      <c r="R15" s="61"/>
    </row>
    <row r="16" spans="1:18" s="7" customFormat="1" ht="60">
      <c r="A16" s="48"/>
      <c r="B16" s="45"/>
      <c r="C16" s="38"/>
      <c r="D16" s="31" t="s">
        <v>25</v>
      </c>
      <c r="E16" s="31" t="s">
        <v>69</v>
      </c>
      <c r="F16" s="38" t="str">
        <f>IF($C16&lt;&gt;"",C16,"")</f>
        <v/>
      </c>
      <c r="G16" s="34">
        <v>1</v>
      </c>
      <c r="H16" s="34">
        <v>1</v>
      </c>
      <c r="I16" s="34">
        <v>5</v>
      </c>
      <c r="J16" s="35">
        <f t="shared" ref="J16:J23" si="3">IF(MAX(G16:I16)=0,"",MAX(G16:I16))</f>
        <v>5</v>
      </c>
      <c r="K16" s="35">
        <v>1</v>
      </c>
      <c r="L16" s="34">
        <f t="shared" ref="L16:L23" si="4">IFERROR(J16*K16,"")</f>
        <v>5</v>
      </c>
      <c r="M16" s="42" t="s">
        <v>784</v>
      </c>
      <c r="N16" s="61" t="s">
        <v>673</v>
      </c>
      <c r="O16" s="61" t="s">
        <v>677</v>
      </c>
      <c r="P16" s="37"/>
      <c r="Q16" s="37" t="s">
        <v>679</v>
      </c>
      <c r="R16" s="61"/>
    </row>
    <row r="17" spans="1:18" s="7" customFormat="1" ht="60">
      <c r="A17" s="48"/>
      <c r="B17" s="45"/>
      <c r="C17" s="38"/>
      <c r="D17" s="31" t="s">
        <v>25</v>
      </c>
      <c r="E17" s="31" t="s">
        <v>81</v>
      </c>
      <c r="F17" s="38"/>
      <c r="G17" s="34">
        <v>1</v>
      </c>
      <c r="H17" s="34">
        <v>1</v>
      </c>
      <c r="I17" s="34">
        <v>5</v>
      </c>
      <c r="J17" s="35">
        <f t="shared" si="3"/>
        <v>5</v>
      </c>
      <c r="K17" s="35">
        <v>1</v>
      </c>
      <c r="L17" s="34">
        <f t="shared" si="4"/>
        <v>5</v>
      </c>
      <c r="M17" s="42" t="s">
        <v>785</v>
      </c>
      <c r="N17" s="61" t="s">
        <v>673</v>
      </c>
      <c r="O17" s="61" t="s">
        <v>677</v>
      </c>
      <c r="P17" s="37"/>
      <c r="Q17" s="37" t="s">
        <v>679</v>
      </c>
      <c r="R17" s="61"/>
    </row>
    <row r="18" spans="1:18" s="7" customFormat="1" ht="60">
      <c r="A18" s="48"/>
      <c r="B18" s="45"/>
      <c r="C18" s="38"/>
      <c r="D18" s="31" t="s">
        <v>25</v>
      </c>
      <c r="E18" s="31" t="s">
        <v>90</v>
      </c>
      <c r="F18" s="38"/>
      <c r="G18" s="34">
        <v>1</v>
      </c>
      <c r="H18" s="34">
        <v>1</v>
      </c>
      <c r="I18" s="34">
        <v>5</v>
      </c>
      <c r="J18" s="35">
        <f t="shared" si="3"/>
        <v>5</v>
      </c>
      <c r="K18" s="35">
        <v>1</v>
      </c>
      <c r="L18" s="34">
        <f t="shared" si="4"/>
        <v>5</v>
      </c>
      <c r="M18" s="42" t="s">
        <v>584</v>
      </c>
      <c r="N18" s="61" t="s">
        <v>673</v>
      </c>
      <c r="O18" s="61" t="s">
        <v>677</v>
      </c>
      <c r="P18" s="37"/>
      <c r="Q18" s="37" t="s">
        <v>679</v>
      </c>
      <c r="R18" s="61"/>
    </row>
    <row r="19" spans="1:18" s="7" customFormat="1" ht="75">
      <c r="A19" s="48"/>
      <c r="B19" s="45"/>
      <c r="C19" s="38"/>
      <c r="D19" s="31" t="s">
        <v>25</v>
      </c>
      <c r="E19" s="31" t="s">
        <v>91</v>
      </c>
      <c r="F19" s="38"/>
      <c r="G19" s="34">
        <v>1</v>
      </c>
      <c r="H19" s="34">
        <v>1</v>
      </c>
      <c r="I19" s="34">
        <v>5</v>
      </c>
      <c r="J19" s="35">
        <f t="shared" si="3"/>
        <v>5</v>
      </c>
      <c r="K19" s="35">
        <v>1</v>
      </c>
      <c r="L19" s="34">
        <f t="shared" si="4"/>
        <v>5</v>
      </c>
      <c r="M19" s="42" t="s">
        <v>791</v>
      </c>
      <c r="N19" s="61" t="s">
        <v>673</v>
      </c>
      <c r="O19" s="61" t="s">
        <v>677</v>
      </c>
      <c r="P19" s="37"/>
      <c r="Q19" s="37" t="s">
        <v>679</v>
      </c>
      <c r="R19" s="61"/>
    </row>
    <row r="20" spans="1:18" s="7" customFormat="1" ht="120">
      <c r="A20" s="48"/>
      <c r="B20" s="45"/>
      <c r="C20" s="38"/>
      <c r="D20" s="31" t="s">
        <v>27</v>
      </c>
      <c r="E20" s="31" t="s">
        <v>80</v>
      </c>
      <c r="F20" s="38" t="str">
        <f t="shared" ref="F20:F22" si="5">IF($C20&lt;&gt;"",C20,"")</f>
        <v/>
      </c>
      <c r="G20" s="34">
        <v>1</v>
      </c>
      <c r="H20" s="34">
        <v>1</v>
      </c>
      <c r="I20" s="34">
        <v>5</v>
      </c>
      <c r="J20" s="35">
        <f t="shared" si="3"/>
        <v>5</v>
      </c>
      <c r="K20" s="35">
        <v>1</v>
      </c>
      <c r="L20" s="34">
        <f t="shared" si="4"/>
        <v>5</v>
      </c>
      <c r="M20" s="42" t="s">
        <v>792</v>
      </c>
      <c r="N20" s="61" t="s">
        <v>676</v>
      </c>
      <c r="O20" s="61" t="s">
        <v>678</v>
      </c>
      <c r="P20" s="37"/>
      <c r="Q20" s="37" t="s">
        <v>680</v>
      </c>
      <c r="R20" s="61"/>
    </row>
    <row r="21" spans="1:18" s="7" customFormat="1" ht="60">
      <c r="A21" s="48"/>
      <c r="B21" s="45"/>
      <c r="C21" s="38"/>
      <c r="D21" s="31" t="s">
        <v>32</v>
      </c>
      <c r="E21" s="31" t="s">
        <v>91</v>
      </c>
      <c r="F21" s="38" t="str">
        <f t="shared" si="5"/>
        <v/>
      </c>
      <c r="G21" s="34">
        <v>1</v>
      </c>
      <c r="H21" s="34">
        <v>1</v>
      </c>
      <c r="I21" s="34">
        <v>5</v>
      </c>
      <c r="J21" s="35">
        <f t="shared" si="3"/>
        <v>5</v>
      </c>
      <c r="K21" s="35">
        <v>1</v>
      </c>
      <c r="L21" s="34">
        <f t="shared" si="4"/>
        <v>5</v>
      </c>
      <c r="M21" s="42" t="s">
        <v>576</v>
      </c>
      <c r="N21" s="61" t="s">
        <v>676</v>
      </c>
      <c r="O21" s="61" t="s">
        <v>678</v>
      </c>
      <c r="P21" s="37"/>
      <c r="Q21" s="37" t="s">
        <v>680</v>
      </c>
      <c r="R21" s="60"/>
    </row>
    <row r="22" spans="1:18" s="7" customFormat="1" ht="75">
      <c r="A22" s="48"/>
      <c r="B22" s="45"/>
      <c r="C22" s="38"/>
      <c r="D22" s="31" t="s">
        <v>38</v>
      </c>
      <c r="E22" s="31" t="s">
        <v>72</v>
      </c>
      <c r="F22" s="38" t="str">
        <f t="shared" si="5"/>
        <v/>
      </c>
      <c r="G22" s="34">
        <v>5</v>
      </c>
      <c r="H22" s="34">
        <v>5</v>
      </c>
      <c r="I22" s="34">
        <v>5</v>
      </c>
      <c r="J22" s="35">
        <f t="shared" si="3"/>
        <v>5</v>
      </c>
      <c r="K22" s="35">
        <v>1</v>
      </c>
      <c r="L22" s="41">
        <f t="shared" si="4"/>
        <v>5</v>
      </c>
      <c r="M22" s="42" t="s">
        <v>577</v>
      </c>
      <c r="N22" s="61" t="s">
        <v>673</v>
      </c>
      <c r="O22" s="61" t="s">
        <v>682</v>
      </c>
      <c r="P22" s="37"/>
      <c r="Q22" s="37" t="s">
        <v>679</v>
      </c>
      <c r="R22" s="61"/>
    </row>
    <row r="23" spans="1:18" s="7" customFormat="1" ht="75">
      <c r="A23" s="48"/>
      <c r="B23" s="45"/>
      <c r="C23" s="38"/>
      <c r="D23" s="37" t="s">
        <v>11</v>
      </c>
      <c r="E23" s="37" t="s">
        <v>67</v>
      </c>
      <c r="F23" s="38"/>
      <c r="G23" s="47">
        <v>1</v>
      </c>
      <c r="H23" s="47">
        <v>1</v>
      </c>
      <c r="I23" s="47">
        <v>5</v>
      </c>
      <c r="J23" s="71">
        <f t="shared" si="3"/>
        <v>5</v>
      </c>
      <c r="K23" s="71">
        <v>1</v>
      </c>
      <c r="L23" s="72">
        <f t="shared" si="4"/>
        <v>5</v>
      </c>
      <c r="M23" s="73" t="s">
        <v>594</v>
      </c>
      <c r="N23" s="74" t="s">
        <v>673</v>
      </c>
      <c r="O23" s="74" t="s">
        <v>672</v>
      </c>
      <c r="P23" s="37"/>
      <c r="Q23" s="37" t="s">
        <v>679</v>
      </c>
      <c r="R23" s="74"/>
    </row>
    <row r="24" spans="1:18" s="7" customFormat="1" ht="129.75" customHeight="1">
      <c r="A24" s="47">
        <v>3</v>
      </c>
      <c r="B24" s="44" t="s">
        <v>768</v>
      </c>
      <c r="C24" s="37" t="s">
        <v>744</v>
      </c>
      <c r="D24" s="31" t="s">
        <v>112</v>
      </c>
      <c r="E24" s="31" t="s">
        <v>793</v>
      </c>
      <c r="F24" s="37" t="s">
        <v>744</v>
      </c>
      <c r="G24" s="34">
        <v>5</v>
      </c>
      <c r="H24" s="34">
        <v>5</v>
      </c>
      <c r="I24" s="34">
        <v>5</v>
      </c>
      <c r="J24" s="35">
        <f>IF(MAX(G24:I24)=0,"",MAX(G24:I24))</f>
        <v>5</v>
      </c>
      <c r="K24" s="35">
        <v>1</v>
      </c>
      <c r="L24" s="34">
        <f>IFERROR(J24*K24,"")</f>
        <v>5</v>
      </c>
      <c r="M24" s="42" t="s">
        <v>794</v>
      </c>
      <c r="N24" s="61" t="s">
        <v>673</v>
      </c>
      <c r="O24" s="61" t="s">
        <v>685</v>
      </c>
      <c r="P24" s="37"/>
      <c r="Q24" s="37" t="s">
        <v>679</v>
      </c>
      <c r="R24" s="61"/>
    </row>
    <row r="25" spans="1:18" s="7" customFormat="1" ht="75">
      <c r="A25" s="48"/>
      <c r="B25" s="45"/>
      <c r="C25" s="38"/>
      <c r="D25" s="31" t="s">
        <v>25</v>
      </c>
      <c r="E25" s="31" t="s">
        <v>67</v>
      </c>
      <c r="F25" s="38" t="str">
        <f>IF($C25&lt;&gt;"",C25,"")</f>
        <v/>
      </c>
      <c r="G25" s="34">
        <v>1</v>
      </c>
      <c r="H25" s="34">
        <v>1</v>
      </c>
      <c r="I25" s="34">
        <v>5</v>
      </c>
      <c r="J25" s="35">
        <f t="shared" ref="J25:J33" si="6">IF(MAX(G25:I25)=0,"",MAX(G25:I25))</f>
        <v>5</v>
      </c>
      <c r="K25" s="35">
        <v>1</v>
      </c>
      <c r="L25" s="34">
        <f t="shared" ref="L25:L33" si="7">IFERROR(J25*K25,"")</f>
        <v>5</v>
      </c>
      <c r="M25" s="42" t="s">
        <v>594</v>
      </c>
      <c r="N25" s="61" t="s">
        <v>673</v>
      </c>
      <c r="O25" s="61" t="s">
        <v>677</v>
      </c>
      <c r="P25" s="37"/>
      <c r="Q25" s="37" t="s">
        <v>679</v>
      </c>
      <c r="R25" s="61"/>
    </row>
    <row r="26" spans="1:18" s="7" customFormat="1" ht="90">
      <c r="A26" s="48"/>
      <c r="B26" s="45"/>
      <c r="C26" s="38"/>
      <c r="D26" s="31" t="s">
        <v>25</v>
      </c>
      <c r="E26" s="31" t="s">
        <v>69</v>
      </c>
      <c r="F26" s="38" t="str">
        <f>IF($C26&lt;&gt;"",C26,"")</f>
        <v/>
      </c>
      <c r="G26" s="34">
        <v>1</v>
      </c>
      <c r="H26" s="34">
        <v>1</v>
      </c>
      <c r="I26" s="34">
        <v>5</v>
      </c>
      <c r="J26" s="35">
        <f t="shared" si="6"/>
        <v>5</v>
      </c>
      <c r="K26" s="35">
        <v>1</v>
      </c>
      <c r="L26" s="34">
        <f t="shared" si="7"/>
        <v>5</v>
      </c>
      <c r="M26" s="42" t="s">
        <v>795</v>
      </c>
      <c r="N26" s="61" t="s">
        <v>673</v>
      </c>
      <c r="O26" s="61" t="s">
        <v>677</v>
      </c>
      <c r="P26" s="37"/>
      <c r="Q26" s="37" t="s">
        <v>679</v>
      </c>
      <c r="R26" s="61"/>
    </row>
    <row r="27" spans="1:18" s="7" customFormat="1" ht="60">
      <c r="A27" s="48"/>
      <c r="B27" s="45"/>
      <c r="C27" s="38"/>
      <c r="D27" s="31" t="s">
        <v>25</v>
      </c>
      <c r="E27" s="31" t="s">
        <v>81</v>
      </c>
      <c r="F27" s="38"/>
      <c r="G27" s="34">
        <v>1</v>
      </c>
      <c r="H27" s="34">
        <v>1</v>
      </c>
      <c r="I27" s="34">
        <v>5</v>
      </c>
      <c r="J27" s="35">
        <f t="shared" si="6"/>
        <v>5</v>
      </c>
      <c r="K27" s="35">
        <v>1</v>
      </c>
      <c r="L27" s="34">
        <f t="shared" si="7"/>
        <v>5</v>
      </c>
      <c r="M27" s="42" t="s">
        <v>797</v>
      </c>
      <c r="N27" s="61" t="s">
        <v>673</v>
      </c>
      <c r="O27" s="61" t="s">
        <v>677</v>
      </c>
      <c r="P27" s="37"/>
      <c r="Q27" s="37" t="s">
        <v>679</v>
      </c>
      <c r="R27" s="61"/>
    </row>
    <row r="28" spans="1:18" s="7" customFormat="1" ht="77.25">
      <c r="A28" s="48"/>
      <c r="B28" s="45"/>
      <c r="C28" s="38"/>
      <c r="D28" s="31" t="s">
        <v>25</v>
      </c>
      <c r="E28" s="31" t="s">
        <v>90</v>
      </c>
      <c r="F28" s="38"/>
      <c r="G28" s="34">
        <v>1</v>
      </c>
      <c r="H28" s="34">
        <v>1</v>
      </c>
      <c r="I28" s="34">
        <v>5</v>
      </c>
      <c r="J28" s="35">
        <f t="shared" si="6"/>
        <v>5</v>
      </c>
      <c r="K28" s="35">
        <v>1</v>
      </c>
      <c r="L28" s="34">
        <f t="shared" si="7"/>
        <v>5</v>
      </c>
      <c r="M28" s="42" t="s">
        <v>796</v>
      </c>
      <c r="N28" s="61" t="s">
        <v>673</v>
      </c>
      <c r="O28" s="61" t="s">
        <v>677</v>
      </c>
      <c r="P28" s="37"/>
      <c r="Q28" s="37" t="s">
        <v>679</v>
      </c>
      <c r="R28" s="61"/>
    </row>
    <row r="29" spans="1:18" s="7" customFormat="1" ht="60">
      <c r="A29" s="48"/>
      <c r="B29" s="45"/>
      <c r="C29" s="38"/>
      <c r="D29" s="31" t="s">
        <v>25</v>
      </c>
      <c r="E29" s="31" t="s">
        <v>91</v>
      </c>
      <c r="F29" s="38"/>
      <c r="G29" s="34">
        <v>1</v>
      </c>
      <c r="H29" s="34">
        <v>1</v>
      </c>
      <c r="I29" s="34">
        <v>5</v>
      </c>
      <c r="J29" s="35">
        <f t="shared" si="6"/>
        <v>5</v>
      </c>
      <c r="K29" s="35">
        <v>1</v>
      </c>
      <c r="L29" s="34">
        <f t="shared" si="7"/>
        <v>5</v>
      </c>
      <c r="M29" s="42" t="s">
        <v>798</v>
      </c>
      <c r="N29" s="61" t="s">
        <v>676</v>
      </c>
      <c r="O29" s="61" t="s">
        <v>678</v>
      </c>
      <c r="P29" s="37"/>
      <c r="Q29" s="37" t="s">
        <v>680</v>
      </c>
      <c r="R29" s="61"/>
    </row>
    <row r="30" spans="1:18" s="7" customFormat="1" ht="90">
      <c r="A30" s="48"/>
      <c r="B30" s="45"/>
      <c r="C30" s="38"/>
      <c r="D30" s="31" t="s">
        <v>27</v>
      </c>
      <c r="E30" s="31" t="s">
        <v>80</v>
      </c>
      <c r="F30" s="38" t="str">
        <f t="shared" ref="F30:F33" si="8">IF($C30&lt;&gt;"",C30,"")</f>
        <v/>
      </c>
      <c r="G30" s="34">
        <v>1</v>
      </c>
      <c r="H30" s="34">
        <v>1</v>
      </c>
      <c r="I30" s="34">
        <v>5</v>
      </c>
      <c r="J30" s="35">
        <f t="shared" si="6"/>
        <v>5</v>
      </c>
      <c r="K30" s="35">
        <v>1</v>
      </c>
      <c r="L30" s="34">
        <f t="shared" si="7"/>
        <v>5</v>
      </c>
      <c r="M30" s="42" t="s">
        <v>586</v>
      </c>
      <c r="N30" s="61" t="s">
        <v>676</v>
      </c>
      <c r="O30" s="61" t="s">
        <v>678</v>
      </c>
      <c r="P30" s="37"/>
      <c r="Q30" s="37" t="s">
        <v>680</v>
      </c>
      <c r="R30" s="60"/>
    </row>
    <row r="31" spans="1:18" s="7" customFormat="1" ht="75">
      <c r="A31" s="48"/>
      <c r="B31" s="45"/>
      <c r="C31" s="38"/>
      <c r="D31" s="31" t="s">
        <v>32</v>
      </c>
      <c r="E31" s="31" t="s">
        <v>91</v>
      </c>
      <c r="F31" s="38" t="str">
        <f t="shared" si="8"/>
        <v/>
      </c>
      <c r="G31" s="34">
        <v>1</v>
      </c>
      <c r="H31" s="34">
        <v>1</v>
      </c>
      <c r="I31" s="34">
        <v>5</v>
      </c>
      <c r="J31" s="35">
        <f t="shared" si="6"/>
        <v>5</v>
      </c>
      <c r="K31" s="35">
        <v>1</v>
      </c>
      <c r="L31" s="34">
        <f t="shared" si="7"/>
        <v>5</v>
      </c>
      <c r="M31" s="42" t="s">
        <v>799</v>
      </c>
      <c r="N31" s="61" t="s">
        <v>673</v>
      </c>
      <c r="O31" s="61" t="s">
        <v>678</v>
      </c>
      <c r="P31" s="37"/>
      <c r="Q31" s="37" t="s">
        <v>680</v>
      </c>
      <c r="R31" s="61"/>
    </row>
    <row r="32" spans="1:18" s="7" customFormat="1" ht="90">
      <c r="A32" s="48"/>
      <c r="B32" s="45"/>
      <c r="C32" s="38"/>
      <c r="D32" s="31" t="s">
        <v>38</v>
      </c>
      <c r="E32" s="31" t="s">
        <v>68</v>
      </c>
      <c r="F32" s="38" t="str">
        <f t="shared" si="8"/>
        <v/>
      </c>
      <c r="G32" s="34">
        <v>5</v>
      </c>
      <c r="H32" s="34">
        <v>1</v>
      </c>
      <c r="I32" s="34">
        <v>1</v>
      </c>
      <c r="J32" s="35">
        <f t="shared" si="6"/>
        <v>5</v>
      </c>
      <c r="K32" s="35">
        <v>1</v>
      </c>
      <c r="L32" s="41">
        <f t="shared" si="7"/>
        <v>5</v>
      </c>
      <c r="M32" s="42" t="s">
        <v>800</v>
      </c>
      <c r="N32" s="61" t="s">
        <v>673</v>
      </c>
      <c r="O32" s="61" t="s">
        <v>682</v>
      </c>
      <c r="P32" s="37"/>
      <c r="Q32" s="37" t="s">
        <v>679</v>
      </c>
      <c r="R32" s="61"/>
    </row>
    <row r="33" spans="1:18" s="7" customFormat="1" ht="75">
      <c r="A33" s="48"/>
      <c r="B33" s="45"/>
      <c r="C33" s="38"/>
      <c r="D33" s="31" t="s">
        <v>38</v>
      </c>
      <c r="E33" s="31" t="s">
        <v>72</v>
      </c>
      <c r="F33" s="38" t="str">
        <f t="shared" si="8"/>
        <v/>
      </c>
      <c r="G33" s="34">
        <v>5</v>
      </c>
      <c r="H33" s="34">
        <v>5</v>
      </c>
      <c r="I33" s="34">
        <v>5</v>
      </c>
      <c r="J33" s="35">
        <f t="shared" si="6"/>
        <v>5</v>
      </c>
      <c r="K33" s="35">
        <v>1</v>
      </c>
      <c r="L33" s="41">
        <f t="shared" si="7"/>
        <v>5</v>
      </c>
      <c r="M33" s="42" t="s">
        <v>577</v>
      </c>
      <c r="N33" s="61" t="s">
        <v>673</v>
      </c>
      <c r="O33" s="61" t="s">
        <v>683</v>
      </c>
      <c r="P33" s="37"/>
      <c r="Q33" s="37" t="s">
        <v>679</v>
      </c>
      <c r="R33" s="61"/>
    </row>
    <row r="34" spans="1:18" s="7" customFormat="1">
      <c r="A34" s="48"/>
      <c r="B34" s="45"/>
      <c r="C34" s="38"/>
      <c r="D34" s="31"/>
      <c r="E34" s="31"/>
      <c r="F34" s="38"/>
      <c r="G34" s="34"/>
      <c r="H34" s="34"/>
      <c r="I34" s="34"/>
      <c r="J34" s="35"/>
      <c r="K34" s="35"/>
      <c r="L34" s="41"/>
      <c r="M34" s="42"/>
      <c r="N34" s="60"/>
      <c r="O34" s="60"/>
      <c r="P34" s="37"/>
      <c r="Q34" s="37"/>
      <c r="R34" s="60"/>
    </row>
    <row r="35" spans="1:18" s="7" customFormat="1">
      <c r="A35" s="49"/>
      <c r="B35" s="46"/>
      <c r="C35" s="39"/>
      <c r="D35" s="31"/>
      <c r="E35" s="31"/>
      <c r="F35" s="39"/>
      <c r="G35" s="34"/>
      <c r="H35" s="34"/>
      <c r="I35" s="34"/>
      <c r="J35" s="35"/>
      <c r="K35" s="35"/>
      <c r="L35" s="41"/>
      <c r="M35" s="42"/>
      <c r="N35" s="60"/>
      <c r="O35" s="60"/>
      <c r="P35" s="37"/>
      <c r="Q35" s="37"/>
      <c r="R35" s="60"/>
    </row>
    <row r="36" spans="1:18" s="7" customFormat="1" ht="70.5" customHeight="1">
      <c r="A36" s="47">
        <v>4</v>
      </c>
      <c r="B36" s="44" t="s">
        <v>761</v>
      </c>
      <c r="C36" s="37" t="s">
        <v>592</v>
      </c>
      <c r="D36" s="31" t="s">
        <v>112</v>
      </c>
      <c r="E36" s="31" t="s">
        <v>600</v>
      </c>
      <c r="F36" s="37" t="s">
        <v>744</v>
      </c>
      <c r="G36" s="34">
        <v>5</v>
      </c>
      <c r="H36" s="34">
        <v>5</v>
      </c>
      <c r="I36" s="34">
        <v>5</v>
      </c>
      <c r="J36" s="35">
        <f>IF(MAX(G36:I36)=0,"",MAX(G36:I36))</f>
        <v>5</v>
      </c>
      <c r="K36" s="35">
        <v>1</v>
      </c>
      <c r="L36" s="34">
        <f>IFERROR(J36*K36,"")</f>
        <v>5</v>
      </c>
      <c r="M36" s="42" t="s">
        <v>571</v>
      </c>
      <c r="N36" s="61" t="s">
        <v>673</v>
      </c>
      <c r="O36" s="61" t="s">
        <v>686</v>
      </c>
      <c r="P36" s="37" t="s">
        <v>692</v>
      </c>
      <c r="Q36" s="37" t="s">
        <v>668</v>
      </c>
      <c r="R36" s="62">
        <v>43445</v>
      </c>
    </row>
    <row r="37" spans="1:18" s="7" customFormat="1" ht="60">
      <c r="A37" s="48"/>
      <c r="B37" s="45"/>
      <c r="C37" s="38"/>
      <c r="D37" s="31" t="s">
        <v>36</v>
      </c>
      <c r="E37" s="31" t="s">
        <v>67</v>
      </c>
      <c r="F37" s="38" t="str">
        <f>IF($C37&lt;&gt;"",C37,"")</f>
        <v/>
      </c>
      <c r="G37" s="34">
        <v>1</v>
      </c>
      <c r="H37" s="34">
        <v>1</v>
      </c>
      <c r="I37" s="34">
        <v>5</v>
      </c>
      <c r="J37" s="35">
        <f t="shared" ref="J37:J47" si="9">IF(MAX(G37:I37)=0,"",MAX(G37:I37))</f>
        <v>5</v>
      </c>
      <c r="K37" s="35">
        <v>1</v>
      </c>
      <c r="L37" s="34">
        <f t="shared" ref="L37:L47" si="10">IFERROR(J37*K37,"")</f>
        <v>5</v>
      </c>
      <c r="M37" s="42" t="s">
        <v>601</v>
      </c>
      <c r="N37" s="61" t="s">
        <v>673</v>
      </c>
      <c r="O37" s="61" t="s">
        <v>677</v>
      </c>
      <c r="P37" s="37"/>
      <c r="Q37" s="37" t="s">
        <v>679</v>
      </c>
      <c r="R37" s="61"/>
    </row>
    <row r="38" spans="1:18" s="7" customFormat="1" ht="60">
      <c r="A38" s="48"/>
      <c r="B38" s="45"/>
      <c r="C38" s="38"/>
      <c r="D38" s="31" t="s">
        <v>25</v>
      </c>
      <c r="E38" s="31" t="s">
        <v>69</v>
      </c>
      <c r="F38" s="38" t="str">
        <f>IF($C38&lt;&gt;"",C38,"")</f>
        <v/>
      </c>
      <c r="G38" s="34">
        <v>1</v>
      </c>
      <c r="H38" s="34">
        <v>1</v>
      </c>
      <c r="I38" s="34">
        <v>5</v>
      </c>
      <c r="J38" s="35">
        <f t="shared" si="9"/>
        <v>5</v>
      </c>
      <c r="K38" s="35">
        <v>1</v>
      </c>
      <c r="L38" s="34">
        <f t="shared" si="10"/>
        <v>5</v>
      </c>
      <c r="M38" s="42" t="s">
        <v>598</v>
      </c>
      <c r="N38" s="61" t="s">
        <v>673</v>
      </c>
      <c r="O38" s="61" t="s">
        <v>677</v>
      </c>
      <c r="P38" s="37"/>
      <c r="Q38" s="37" t="s">
        <v>679</v>
      </c>
      <c r="R38" s="61"/>
    </row>
    <row r="39" spans="1:18" s="7" customFormat="1" ht="60">
      <c r="A39" s="48"/>
      <c r="B39" s="45"/>
      <c r="C39" s="38"/>
      <c r="D39" s="31" t="s">
        <v>25</v>
      </c>
      <c r="E39" s="31" t="s">
        <v>81</v>
      </c>
      <c r="F39" s="38"/>
      <c r="G39" s="34">
        <v>1</v>
      </c>
      <c r="H39" s="34">
        <v>1</v>
      </c>
      <c r="I39" s="34">
        <v>5</v>
      </c>
      <c r="J39" s="35">
        <f t="shared" si="9"/>
        <v>5</v>
      </c>
      <c r="K39" s="35">
        <v>1</v>
      </c>
      <c r="L39" s="34">
        <f t="shared" si="10"/>
        <v>5</v>
      </c>
      <c r="M39" s="42" t="s">
        <v>801</v>
      </c>
      <c r="N39" s="61" t="s">
        <v>673</v>
      </c>
      <c r="O39" s="61" t="s">
        <v>677</v>
      </c>
      <c r="P39" s="37"/>
      <c r="Q39" s="37" t="s">
        <v>679</v>
      </c>
      <c r="R39" s="61"/>
    </row>
    <row r="40" spans="1:18" s="7" customFormat="1" ht="110.25" customHeight="1">
      <c r="A40" s="48"/>
      <c r="B40" s="45"/>
      <c r="C40" s="38"/>
      <c r="D40" s="31" t="s">
        <v>25</v>
      </c>
      <c r="E40" s="31" t="s">
        <v>90</v>
      </c>
      <c r="F40" s="38"/>
      <c r="G40" s="34">
        <v>1</v>
      </c>
      <c r="H40" s="34">
        <v>1</v>
      </c>
      <c r="I40" s="34">
        <v>5</v>
      </c>
      <c r="J40" s="35">
        <f t="shared" si="9"/>
        <v>5</v>
      </c>
      <c r="K40" s="35">
        <v>1</v>
      </c>
      <c r="L40" s="34">
        <f t="shared" si="10"/>
        <v>5</v>
      </c>
      <c r="M40" s="42" t="s">
        <v>802</v>
      </c>
      <c r="N40" s="61" t="s">
        <v>673</v>
      </c>
      <c r="O40" s="61" t="s">
        <v>677</v>
      </c>
      <c r="P40" s="37"/>
      <c r="Q40" s="37" t="s">
        <v>679</v>
      </c>
      <c r="R40" s="61"/>
    </row>
    <row r="41" spans="1:18" s="7" customFormat="1" ht="60">
      <c r="A41" s="48"/>
      <c r="B41" s="45"/>
      <c r="C41" s="38"/>
      <c r="D41" s="31" t="s">
        <v>25</v>
      </c>
      <c r="E41" s="31" t="s">
        <v>91</v>
      </c>
      <c r="F41" s="38"/>
      <c r="G41" s="34">
        <v>1</v>
      </c>
      <c r="H41" s="34">
        <v>1</v>
      </c>
      <c r="I41" s="34">
        <v>5</v>
      </c>
      <c r="J41" s="35">
        <f t="shared" si="9"/>
        <v>5</v>
      </c>
      <c r="K41" s="35">
        <v>1</v>
      </c>
      <c r="L41" s="34">
        <f t="shared" si="10"/>
        <v>5</v>
      </c>
      <c r="M41" s="42" t="s">
        <v>803</v>
      </c>
      <c r="N41" s="61" t="s">
        <v>676</v>
      </c>
      <c r="O41" s="61" t="s">
        <v>677</v>
      </c>
      <c r="P41" s="37"/>
      <c r="Q41" s="37" t="s">
        <v>679</v>
      </c>
      <c r="R41" s="61"/>
    </row>
    <row r="42" spans="1:18" s="7" customFormat="1" ht="60">
      <c r="A42" s="48"/>
      <c r="B42" s="45"/>
      <c r="C42" s="38"/>
      <c r="D42" s="31" t="s">
        <v>27</v>
      </c>
      <c r="E42" s="31" t="s">
        <v>80</v>
      </c>
      <c r="F42" s="38" t="str">
        <f t="shared" ref="F42:F47" si="11">IF($C42&lt;&gt;"",C42,"")</f>
        <v/>
      </c>
      <c r="G42" s="34">
        <v>1</v>
      </c>
      <c r="H42" s="34">
        <v>1</v>
      </c>
      <c r="I42" s="34">
        <v>5</v>
      </c>
      <c r="J42" s="35">
        <f t="shared" si="9"/>
        <v>5</v>
      </c>
      <c r="K42" s="35">
        <v>1</v>
      </c>
      <c r="L42" s="34">
        <f t="shared" si="10"/>
        <v>5</v>
      </c>
      <c r="M42" s="42" t="s">
        <v>602</v>
      </c>
      <c r="N42" s="61" t="s">
        <v>676</v>
      </c>
      <c r="O42" s="61" t="s">
        <v>678</v>
      </c>
      <c r="P42" s="37"/>
      <c r="Q42" s="37" t="s">
        <v>680</v>
      </c>
      <c r="R42" s="61"/>
    </row>
    <row r="43" spans="1:18" s="7" customFormat="1" ht="60">
      <c r="A43" s="48"/>
      <c r="B43" s="45"/>
      <c r="C43" s="38"/>
      <c r="D43" s="31" t="s">
        <v>32</v>
      </c>
      <c r="E43" s="31" t="s">
        <v>91</v>
      </c>
      <c r="F43" s="38" t="str">
        <f t="shared" si="11"/>
        <v/>
      </c>
      <c r="G43" s="34">
        <v>1</v>
      </c>
      <c r="H43" s="34">
        <v>1</v>
      </c>
      <c r="I43" s="34">
        <v>5</v>
      </c>
      <c r="J43" s="35">
        <f t="shared" si="9"/>
        <v>5</v>
      </c>
      <c r="K43" s="35">
        <v>1</v>
      </c>
      <c r="L43" s="34">
        <f t="shared" si="10"/>
        <v>5</v>
      </c>
      <c r="M43" s="42" t="s">
        <v>603</v>
      </c>
      <c r="N43" s="61" t="s">
        <v>676</v>
      </c>
      <c r="O43" s="61" t="s">
        <v>678</v>
      </c>
      <c r="P43" s="37"/>
      <c r="Q43" s="37" t="s">
        <v>680</v>
      </c>
      <c r="R43" s="61"/>
    </row>
    <row r="44" spans="1:18" s="7" customFormat="1" ht="60">
      <c r="A44" s="48"/>
      <c r="B44" s="45"/>
      <c r="C44" s="38"/>
      <c r="D44" s="31" t="s">
        <v>38</v>
      </c>
      <c r="E44" s="31" t="s">
        <v>68</v>
      </c>
      <c r="F44" s="38" t="str">
        <f t="shared" si="11"/>
        <v/>
      </c>
      <c r="G44" s="34">
        <v>5</v>
      </c>
      <c r="H44" s="34">
        <v>1</v>
      </c>
      <c r="I44" s="34">
        <v>1</v>
      </c>
      <c r="J44" s="35">
        <f t="shared" si="9"/>
        <v>5</v>
      </c>
      <c r="K44" s="35">
        <v>1</v>
      </c>
      <c r="L44" s="41">
        <f t="shared" si="10"/>
        <v>5</v>
      </c>
      <c r="M44" s="42" t="s">
        <v>578</v>
      </c>
      <c r="N44" s="61" t="s">
        <v>673</v>
      </c>
      <c r="O44" s="61" t="s">
        <v>682</v>
      </c>
      <c r="P44" s="37"/>
      <c r="Q44" s="37" t="s">
        <v>679</v>
      </c>
      <c r="R44" s="61"/>
    </row>
    <row r="45" spans="1:18" s="7" customFormat="1" ht="75">
      <c r="A45" s="48"/>
      <c r="B45" s="45"/>
      <c r="C45" s="38"/>
      <c r="D45" s="31" t="s">
        <v>38</v>
      </c>
      <c r="E45" s="31" t="s">
        <v>72</v>
      </c>
      <c r="F45" s="38" t="str">
        <f t="shared" si="11"/>
        <v/>
      </c>
      <c r="G45" s="34">
        <v>5</v>
      </c>
      <c r="H45" s="34">
        <v>5</v>
      </c>
      <c r="I45" s="34">
        <v>5</v>
      </c>
      <c r="J45" s="35">
        <f t="shared" si="9"/>
        <v>5</v>
      </c>
      <c r="K45" s="35">
        <v>1</v>
      </c>
      <c r="L45" s="41">
        <f t="shared" si="10"/>
        <v>5</v>
      </c>
      <c r="M45" s="42" t="s">
        <v>577</v>
      </c>
      <c r="N45" s="61" t="s">
        <v>673</v>
      </c>
      <c r="O45" s="61" t="s">
        <v>683</v>
      </c>
      <c r="P45" s="37"/>
      <c r="Q45" s="37" t="s">
        <v>679</v>
      </c>
      <c r="R45" s="61"/>
    </row>
    <row r="46" spans="1:18" s="7" customFormat="1" ht="45">
      <c r="A46" s="48"/>
      <c r="B46" s="45"/>
      <c r="C46" s="38"/>
      <c r="D46" s="31" t="s">
        <v>22</v>
      </c>
      <c r="E46" s="31" t="s">
        <v>68</v>
      </c>
      <c r="F46" s="38" t="str">
        <f t="shared" si="11"/>
        <v/>
      </c>
      <c r="G46" s="34">
        <v>5</v>
      </c>
      <c r="H46" s="34">
        <v>5</v>
      </c>
      <c r="I46" s="34">
        <v>1</v>
      </c>
      <c r="J46" s="35">
        <f t="shared" si="9"/>
        <v>5</v>
      </c>
      <c r="K46" s="35">
        <v>1</v>
      </c>
      <c r="L46" s="41">
        <f t="shared" si="10"/>
        <v>5</v>
      </c>
      <c r="M46" s="42" t="s">
        <v>604</v>
      </c>
      <c r="N46" s="61" t="s">
        <v>673</v>
      </c>
      <c r="O46" s="61" t="s">
        <v>682</v>
      </c>
      <c r="P46" s="37"/>
      <c r="Q46" s="37" t="s">
        <v>679</v>
      </c>
      <c r="R46" s="61"/>
    </row>
    <row r="47" spans="1:18" s="7" customFormat="1" ht="90">
      <c r="A47" s="49"/>
      <c r="B47" s="46"/>
      <c r="C47" s="39"/>
      <c r="D47" s="31" t="s">
        <v>33</v>
      </c>
      <c r="E47" s="31" t="s">
        <v>68</v>
      </c>
      <c r="F47" s="39" t="str">
        <f t="shared" si="11"/>
        <v/>
      </c>
      <c r="G47" s="34">
        <v>5</v>
      </c>
      <c r="H47" s="34">
        <v>5</v>
      </c>
      <c r="I47" s="34">
        <v>1</v>
      </c>
      <c r="J47" s="35">
        <f t="shared" si="9"/>
        <v>5</v>
      </c>
      <c r="K47" s="35">
        <v>1</v>
      </c>
      <c r="L47" s="41">
        <f t="shared" si="10"/>
        <v>5</v>
      </c>
      <c r="M47" s="42" t="s">
        <v>605</v>
      </c>
      <c r="N47" s="61" t="s">
        <v>673</v>
      </c>
      <c r="O47" s="61" t="s">
        <v>682</v>
      </c>
      <c r="P47" s="37"/>
      <c r="Q47" s="37" t="s">
        <v>679</v>
      </c>
      <c r="R47" s="61"/>
    </row>
    <row r="48" spans="1:18" s="7" customFormat="1" ht="70.5" customHeight="1">
      <c r="A48" s="47">
        <v>34</v>
      </c>
      <c r="B48" s="44" t="s">
        <v>760</v>
      </c>
      <c r="C48" s="37" t="s">
        <v>807</v>
      </c>
      <c r="D48" s="31" t="s">
        <v>112</v>
      </c>
      <c r="E48" s="31" t="s">
        <v>600</v>
      </c>
      <c r="F48" s="37" t="s">
        <v>744</v>
      </c>
      <c r="G48" s="34">
        <v>5</v>
      </c>
      <c r="H48" s="34">
        <v>5</v>
      </c>
      <c r="I48" s="34">
        <v>5</v>
      </c>
      <c r="J48" s="35">
        <f>IF(MAX(G48:I48)=0,"",MAX(G48:I48))</f>
        <v>5</v>
      </c>
      <c r="K48" s="35">
        <v>1</v>
      </c>
      <c r="L48" s="34">
        <f>IFERROR(J48*K48,"")</f>
        <v>5</v>
      </c>
      <c r="M48" s="42" t="s">
        <v>571</v>
      </c>
      <c r="N48" s="61" t="s">
        <v>673</v>
      </c>
      <c r="O48" s="61" t="s">
        <v>686</v>
      </c>
      <c r="P48" s="37" t="s">
        <v>692</v>
      </c>
      <c r="Q48" s="37" t="s">
        <v>668</v>
      </c>
      <c r="R48" s="62">
        <v>43445</v>
      </c>
    </row>
    <row r="49" spans="1:18" s="7" customFormat="1" ht="62.25">
      <c r="A49" s="48"/>
      <c r="B49" s="45"/>
      <c r="C49" s="38"/>
      <c r="D49" s="31" t="s">
        <v>36</v>
      </c>
      <c r="E49" s="31" t="s">
        <v>67</v>
      </c>
      <c r="F49" s="38" t="str">
        <f>IF($C49&lt;&gt;"",C49,"")</f>
        <v/>
      </c>
      <c r="G49" s="34">
        <v>1</v>
      </c>
      <c r="H49" s="34">
        <v>1</v>
      </c>
      <c r="I49" s="34">
        <v>5</v>
      </c>
      <c r="J49" s="35">
        <f t="shared" ref="J49:J59" si="12">IF(MAX(G49:I49)=0,"",MAX(G49:I49))</f>
        <v>5</v>
      </c>
      <c r="K49" s="35">
        <v>1</v>
      </c>
      <c r="L49" s="34">
        <f t="shared" ref="L49:L59" si="13">IFERROR(J49*K49,"")</f>
        <v>5</v>
      </c>
      <c r="M49" s="42" t="s">
        <v>804</v>
      </c>
      <c r="N49" s="61" t="s">
        <v>673</v>
      </c>
      <c r="O49" s="61" t="s">
        <v>677</v>
      </c>
      <c r="P49" s="37"/>
      <c r="Q49" s="37" t="s">
        <v>679</v>
      </c>
      <c r="R49" s="61"/>
    </row>
    <row r="50" spans="1:18" s="7" customFormat="1" ht="60">
      <c r="A50" s="48"/>
      <c r="B50" s="45"/>
      <c r="C50" s="38"/>
      <c r="D50" s="31" t="s">
        <v>25</v>
      </c>
      <c r="E50" s="31" t="s">
        <v>69</v>
      </c>
      <c r="F50" s="38" t="str">
        <f>IF($C50&lt;&gt;"",C50,"")</f>
        <v/>
      </c>
      <c r="G50" s="34">
        <v>1</v>
      </c>
      <c r="H50" s="34">
        <v>1</v>
      </c>
      <c r="I50" s="34">
        <v>5</v>
      </c>
      <c r="J50" s="35">
        <f t="shared" si="12"/>
        <v>5</v>
      </c>
      <c r="K50" s="35">
        <v>1</v>
      </c>
      <c r="L50" s="34">
        <f t="shared" si="13"/>
        <v>5</v>
      </c>
      <c r="M50" s="42" t="s">
        <v>598</v>
      </c>
      <c r="N50" s="61" t="s">
        <v>673</v>
      </c>
      <c r="O50" s="61" t="s">
        <v>677</v>
      </c>
      <c r="P50" s="37"/>
      <c r="Q50" s="37" t="s">
        <v>679</v>
      </c>
      <c r="R50" s="61"/>
    </row>
    <row r="51" spans="1:18" s="7" customFormat="1" ht="60">
      <c r="A51" s="48"/>
      <c r="B51" s="45"/>
      <c r="C51" s="38"/>
      <c r="D51" s="31" t="s">
        <v>25</v>
      </c>
      <c r="E51" s="31" t="s">
        <v>81</v>
      </c>
      <c r="F51" s="38"/>
      <c r="G51" s="34">
        <v>1</v>
      </c>
      <c r="H51" s="34">
        <v>1</v>
      </c>
      <c r="I51" s="34">
        <v>5</v>
      </c>
      <c r="J51" s="35">
        <f t="shared" si="12"/>
        <v>5</v>
      </c>
      <c r="K51" s="35">
        <v>1</v>
      </c>
      <c r="L51" s="34">
        <f t="shared" si="13"/>
        <v>5</v>
      </c>
      <c r="M51" s="42" t="s">
        <v>805</v>
      </c>
      <c r="N51" s="61" t="s">
        <v>673</v>
      </c>
      <c r="O51" s="61" t="s">
        <v>677</v>
      </c>
      <c r="P51" s="37"/>
      <c r="Q51" s="37" t="s">
        <v>679</v>
      </c>
      <c r="R51" s="61"/>
    </row>
    <row r="52" spans="1:18" s="7" customFormat="1" ht="110.25" customHeight="1">
      <c r="A52" s="48"/>
      <c r="B52" s="45"/>
      <c r="C52" s="38"/>
      <c r="D52" s="31" t="s">
        <v>25</v>
      </c>
      <c r="E52" s="31" t="s">
        <v>90</v>
      </c>
      <c r="F52" s="38"/>
      <c r="G52" s="34">
        <v>1</v>
      </c>
      <c r="H52" s="34">
        <v>1</v>
      </c>
      <c r="I52" s="34">
        <v>5</v>
      </c>
      <c r="J52" s="35">
        <f t="shared" si="12"/>
        <v>5</v>
      </c>
      <c r="K52" s="35">
        <v>1</v>
      </c>
      <c r="L52" s="34">
        <f t="shared" si="13"/>
        <v>5</v>
      </c>
      <c r="M52" s="42" t="s">
        <v>802</v>
      </c>
      <c r="N52" s="61" t="s">
        <v>673</v>
      </c>
      <c r="O52" s="61" t="s">
        <v>677</v>
      </c>
      <c r="P52" s="37"/>
      <c r="Q52" s="37" t="s">
        <v>679</v>
      </c>
      <c r="R52" s="61"/>
    </row>
    <row r="53" spans="1:18" s="7" customFormat="1" ht="60">
      <c r="A53" s="48"/>
      <c r="B53" s="45"/>
      <c r="C53" s="38"/>
      <c r="D53" s="31" t="s">
        <v>25</v>
      </c>
      <c r="E53" s="31" t="s">
        <v>91</v>
      </c>
      <c r="F53" s="38"/>
      <c r="G53" s="34">
        <v>1</v>
      </c>
      <c r="H53" s="34">
        <v>1</v>
      </c>
      <c r="I53" s="34">
        <v>5</v>
      </c>
      <c r="J53" s="35">
        <f t="shared" si="12"/>
        <v>5</v>
      </c>
      <c r="K53" s="35">
        <v>1</v>
      </c>
      <c r="L53" s="34">
        <f t="shared" si="13"/>
        <v>5</v>
      </c>
      <c r="M53" s="42" t="s">
        <v>806</v>
      </c>
      <c r="N53" s="61" t="s">
        <v>676</v>
      </c>
      <c r="O53" s="61" t="s">
        <v>677</v>
      </c>
      <c r="P53" s="37"/>
      <c r="Q53" s="37" t="s">
        <v>679</v>
      </c>
      <c r="R53" s="61"/>
    </row>
    <row r="54" spans="1:18" s="7" customFormat="1" ht="60">
      <c r="A54" s="48"/>
      <c r="B54" s="45"/>
      <c r="C54" s="38"/>
      <c r="D54" s="31" t="s">
        <v>27</v>
      </c>
      <c r="E54" s="31" t="s">
        <v>80</v>
      </c>
      <c r="F54" s="38" t="str">
        <f t="shared" ref="F54:F59" si="14">IF($C54&lt;&gt;"",C54,"")</f>
        <v/>
      </c>
      <c r="G54" s="34">
        <v>1</v>
      </c>
      <c r="H54" s="34">
        <v>1</v>
      </c>
      <c r="I54" s="34">
        <v>5</v>
      </c>
      <c r="J54" s="35">
        <f t="shared" si="12"/>
        <v>5</v>
      </c>
      <c r="K54" s="35">
        <v>1</v>
      </c>
      <c r="L54" s="34">
        <f t="shared" si="13"/>
        <v>5</v>
      </c>
      <c r="M54" s="42" t="s">
        <v>602</v>
      </c>
      <c r="N54" s="61" t="s">
        <v>676</v>
      </c>
      <c r="O54" s="61" t="s">
        <v>678</v>
      </c>
      <c r="P54" s="37"/>
      <c r="Q54" s="37" t="s">
        <v>680</v>
      </c>
      <c r="R54" s="61"/>
    </row>
    <row r="55" spans="1:18" s="7" customFormat="1" ht="60">
      <c r="A55" s="48"/>
      <c r="B55" s="45"/>
      <c r="C55" s="38"/>
      <c r="D55" s="31" t="s">
        <v>32</v>
      </c>
      <c r="E55" s="31" t="s">
        <v>91</v>
      </c>
      <c r="F55" s="38" t="str">
        <f t="shared" si="14"/>
        <v/>
      </c>
      <c r="G55" s="34">
        <v>1</v>
      </c>
      <c r="H55" s="34">
        <v>1</v>
      </c>
      <c r="I55" s="34">
        <v>5</v>
      </c>
      <c r="J55" s="35">
        <f t="shared" si="12"/>
        <v>5</v>
      </c>
      <c r="K55" s="35">
        <v>1</v>
      </c>
      <c r="L55" s="34">
        <f t="shared" si="13"/>
        <v>5</v>
      </c>
      <c r="M55" s="42" t="s">
        <v>603</v>
      </c>
      <c r="N55" s="61" t="s">
        <v>676</v>
      </c>
      <c r="O55" s="61" t="s">
        <v>678</v>
      </c>
      <c r="P55" s="37"/>
      <c r="Q55" s="37" t="s">
        <v>680</v>
      </c>
      <c r="R55" s="61"/>
    </row>
    <row r="56" spans="1:18" s="7" customFormat="1" ht="60">
      <c r="A56" s="48"/>
      <c r="B56" s="45"/>
      <c r="C56" s="38"/>
      <c r="D56" s="31" t="s">
        <v>38</v>
      </c>
      <c r="E56" s="31" t="s">
        <v>68</v>
      </c>
      <c r="F56" s="38" t="str">
        <f t="shared" si="14"/>
        <v/>
      </c>
      <c r="G56" s="34">
        <v>5</v>
      </c>
      <c r="H56" s="34">
        <v>1</v>
      </c>
      <c r="I56" s="34">
        <v>1</v>
      </c>
      <c r="J56" s="35">
        <f t="shared" si="12"/>
        <v>5</v>
      </c>
      <c r="K56" s="35">
        <v>1</v>
      </c>
      <c r="L56" s="41">
        <f t="shared" si="13"/>
        <v>5</v>
      </c>
      <c r="M56" s="42" t="s">
        <v>578</v>
      </c>
      <c r="N56" s="61" t="s">
        <v>673</v>
      </c>
      <c r="O56" s="61" t="s">
        <v>682</v>
      </c>
      <c r="P56" s="37"/>
      <c r="Q56" s="37" t="s">
        <v>679</v>
      </c>
      <c r="R56" s="61"/>
    </row>
    <row r="57" spans="1:18" s="7" customFormat="1" ht="75">
      <c r="A57" s="48"/>
      <c r="B57" s="45"/>
      <c r="C57" s="38"/>
      <c r="D57" s="31" t="s">
        <v>38</v>
      </c>
      <c r="E57" s="31" t="s">
        <v>72</v>
      </c>
      <c r="F57" s="38" t="str">
        <f t="shared" si="14"/>
        <v/>
      </c>
      <c r="G57" s="34">
        <v>5</v>
      </c>
      <c r="H57" s="34">
        <v>5</v>
      </c>
      <c r="I57" s="34">
        <v>5</v>
      </c>
      <c r="J57" s="35">
        <f t="shared" si="12"/>
        <v>5</v>
      </c>
      <c r="K57" s="35">
        <v>1</v>
      </c>
      <c r="L57" s="41">
        <f t="shared" si="13"/>
        <v>5</v>
      </c>
      <c r="M57" s="42" t="s">
        <v>577</v>
      </c>
      <c r="N57" s="61" t="s">
        <v>673</v>
      </c>
      <c r="O57" s="61" t="s">
        <v>683</v>
      </c>
      <c r="P57" s="37"/>
      <c r="Q57" s="37" t="s">
        <v>679</v>
      </c>
      <c r="R57" s="61"/>
    </row>
    <row r="58" spans="1:18" s="7" customFormat="1" ht="45">
      <c r="A58" s="48"/>
      <c r="B58" s="45"/>
      <c r="C58" s="38"/>
      <c r="D58" s="31" t="s">
        <v>22</v>
      </c>
      <c r="E58" s="31" t="s">
        <v>68</v>
      </c>
      <c r="F58" s="38" t="str">
        <f t="shared" si="14"/>
        <v/>
      </c>
      <c r="G58" s="34">
        <v>5</v>
      </c>
      <c r="H58" s="34">
        <v>5</v>
      </c>
      <c r="I58" s="34">
        <v>1</v>
      </c>
      <c r="J58" s="35">
        <f t="shared" si="12"/>
        <v>5</v>
      </c>
      <c r="K58" s="35">
        <v>1</v>
      </c>
      <c r="L58" s="41">
        <f t="shared" si="13"/>
        <v>5</v>
      </c>
      <c r="M58" s="42" t="s">
        <v>604</v>
      </c>
      <c r="N58" s="61" t="s">
        <v>673</v>
      </c>
      <c r="O58" s="61" t="s">
        <v>682</v>
      </c>
      <c r="P58" s="37"/>
      <c r="Q58" s="37" t="s">
        <v>679</v>
      </c>
      <c r="R58" s="61"/>
    </row>
    <row r="59" spans="1:18" s="7" customFormat="1" ht="90">
      <c r="A59" s="49"/>
      <c r="B59" s="46"/>
      <c r="C59" s="39"/>
      <c r="D59" s="31" t="s">
        <v>33</v>
      </c>
      <c r="E59" s="31" t="s">
        <v>68</v>
      </c>
      <c r="F59" s="39" t="str">
        <f t="shared" si="14"/>
        <v/>
      </c>
      <c r="G59" s="34">
        <v>5</v>
      </c>
      <c r="H59" s="34">
        <v>5</v>
      </c>
      <c r="I59" s="34">
        <v>1</v>
      </c>
      <c r="J59" s="35">
        <f t="shared" si="12"/>
        <v>5</v>
      </c>
      <c r="K59" s="35">
        <v>1</v>
      </c>
      <c r="L59" s="41">
        <f t="shared" si="13"/>
        <v>5</v>
      </c>
      <c r="M59" s="42" t="s">
        <v>605</v>
      </c>
      <c r="N59" s="61" t="s">
        <v>673</v>
      </c>
      <c r="O59" s="61" t="s">
        <v>682</v>
      </c>
      <c r="P59" s="37"/>
      <c r="Q59" s="37" t="s">
        <v>679</v>
      </c>
      <c r="R59" s="61"/>
    </row>
    <row r="60" spans="1:18" s="7" customFormat="1" ht="69.75" customHeight="1">
      <c r="A60" s="47">
        <v>5</v>
      </c>
      <c r="B60" s="44" t="s">
        <v>754</v>
      </c>
      <c r="C60" s="37" t="s">
        <v>744</v>
      </c>
      <c r="D60" s="31" t="s">
        <v>112</v>
      </c>
      <c r="E60" s="31" t="s">
        <v>600</v>
      </c>
      <c r="F60" s="37" t="s">
        <v>744</v>
      </c>
      <c r="G60" s="34">
        <v>5</v>
      </c>
      <c r="H60" s="34">
        <v>5</v>
      </c>
      <c r="I60" s="34">
        <v>5</v>
      </c>
      <c r="J60" s="35">
        <f>IF(MAX(G60:I60)=0,"",MAX(G60:I60))</f>
        <v>5</v>
      </c>
      <c r="K60" s="35">
        <v>1</v>
      </c>
      <c r="L60" s="34">
        <f>IFERROR(J60*K60,"")</f>
        <v>5</v>
      </c>
      <c r="M60" s="42" t="s">
        <v>571</v>
      </c>
      <c r="N60" s="61" t="s">
        <v>673</v>
      </c>
      <c r="O60" s="61" t="s">
        <v>687</v>
      </c>
      <c r="P60" s="37"/>
      <c r="Q60" s="37" t="s">
        <v>668</v>
      </c>
      <c r="R60" s="62">
        <v>43445</v>
      </c>
    </row>
    <row r="61" spans="1:18" s="7" customFormat="1" ht="60">
      <c r="A61" s="48"/>
      <c r="B61" s="45"/>
      <c r="C61" s="38"/>
      <c r="D61" s="31" t="s">
        <v>36</v>
      </c>
      <c r="E61" s="31" t="s">
        <v>67</v>
      </c>
      <c r="F61" s="38" t="str">
        <f>IF($C61&lt;&gt;"",C61,"")</f>
        <v/>
      </c>
      <c r="G61" s="34">
        <v>1</v>
      </c>
      <c r="H61" s="34">
        <v>1</v>
      </c>
      <c r="I61" s="34">
        <v>5</v>
      </c>
      <c r="J61" s="35">
        <f t="shared" ref="J61:J71" si="15">IF(MAX(G61:I61)=0,"",MAX(G61:I61))</f>
        <v>5</v>
      </c>
      <c r="K61" s="35">
        <v>1</v>
      </c>
      <c r="L61" s="34">
        <f t="shared" ref="L61:L71" si="16">IFERROR(J61*K61,"")</f>
        <v>5</v>
      </c>
      <c r="M61" s="42" t="s">
        <v>810</v>
      </c>
      <c r="N61" s="61" t="s">
        <v>673</v>
      </c>
      <c r="O61" s="61" t="s">
        <v>677</v>
      </c>
      <c r="P61" s="37"/>
      <c r="Q61" s="37" t="s">
        <v>679</v>
      </c>
      <c r="R61" s="61"/>
    </row>
    <row r="62" spans="1:18" s="7" customFormat="1" ht="60">
      <c r="A62" s="48"/>
      <c r="B62" s="45"/>
      <c r="C62" s="38"/>
      <c r="D62" s="31" t="s">
        <v>25</v>
      </c>
      <c r="E62" s="31" t="s">
        <v>69</v>
      </c>
      <c r="F62" s="38" t="str">
        <f>IF($C62&lt;&gt;"",C62,"")</f>
        <v/>
      </c>
      <c r="G62" s="34">
        <v>1</v>
      </c>
      <c r="H62" s="34">
        <v>1</v>
      </c>
      <c r="I62" s="34">
        <v>5</v>
      </c>
      <c r="J62" s="35">
        <f t="shared" si="15"/>
        <v>5</v>
      </c>
      <c r="K62" s="35">
        <v>1</v>
      </c>
      <c r="L62" s="34">
        <f t="shared" si="16"/>
        <v>5</v>
      </c>
      <c r="M62" s="42" t="s">
        <v>607</v>
      </c>
      <c r="N62" s="61" t="s">
        <v>673</v>
      </c>
      <c r="O62" s="61" t="s">
        <v>677</v>
      </c>
      <c r="P62" s="37"/>
      <c r="Q62" s="37" t="s">
        <v>679</v>
      </c>
      <c r="R62" s="61"/>
    </row>
    <row r="63" spans="1:18" s="7" customFormat="1" ht="60">
      <c r="A63" s="48"/>
      <c r="B63" s="45"/>
      <c r="C63" s="38"/>
      <c r="D63" s="31" t="s">
        <v>25</v>
      </c>
      <c r="E63" s="31" t="s">
        <v>81</v>
      </c>
      <c r="F63" s="38"/>
      <c r="G63" s="34">
        <v>1</v>
      </c>
      <c r="H63" s="34">
        <v>1</v>
      </c>
      <c r="I63" s="34">
        <v>5</v>
      </c>
      <c r="J63" s="35">
        <f t="shared" si="15"/>
        <v>5</v>
      </c>
      <c r="K63" s="35">
        <v>1</v>
      </c>
      <c r="L63" s="34">
        <f t="shared" si="16"/>
        <v>5</v>
      </c>
      <c r="M63" s="42" t="s">
        <v>608</v>
      </c>
      <c r="N63" s="61" t="s">
        <v>673</v>
      </c>
      <c r="O63" s="61" t="s">
        <v>677</v>
      </c>
      <c r="P63" s="37"/>
      <c r="Q63" s="37" t="s">
        <v>679</v>
      </c>
      <c r="R63" s="61"/>
    </row>
    <row r="64" spans="1:18" s="7" customFormat="1" ht="60">
      <c r="A64" s="48"/>
      <c r="B64" s="45"/>
      <c r="C64" s="38"/>
      <c r="D64" s="31" t="s">
        <v>25</v>
      </c>
      <c r="E64" s="31" t="s">
        <v>90</v>
      </c>
      <c r="F64" s="38"/>
      <c r="G64" s="34">
        <v>1</v>
      </c>
      <c r="H64" s="34">
        <v>1</v>
      </c>
      <c r="I64" s="34">
        <v>5</v>
      </c>
      <c r="J64" s="35">
        <f t="shared" si="15"/>
        <v>5</v>
      </c>
      <c r="K64" s="35">
        <v>1</v>
      </c>
      <c r="L64" s="34">
        <f t="shared" si="16"/>
        <v>5</v>
      </c>
      <c r="M64" s="42" t="s">
        <v>609</v>
      </c>
      <c r="N64" s="61" t="s">
        <v>673</v>
      </c>
      <c r="O64" s="61" t="s">
        <v>677</v>
      </c>
      <c r="P64" s="37"/>
      <c r="Q64" s="37" t="s">
        <v>679</v>
      </c>
      <c r="R64" s="61"/>
    </row>
    <row r="65" spans="1:18" s="7" customFormat="1" ht="60">
      <c r="A65" s="48"/>
      <c r="B65" s="45"/>
      <c r="C65" s="38"/>
      <c r="D65" s="31" t="s">
        <v>25</v>
      </c>
      <c r="E65" s="31" t="s">
        <v>91</v>
      </c>
      <c r="F65" s="38"/>
      <c r="G65" s="34">
        <v>1</v>
      </c>
      <c r="H65" s="34">
        <v>1</v>
      </c>
      <c r="I65" s="34">
        <v>5</v>
      </c>
      <c r="J65" s="35">
        <f t="shared" si="15"/>
        <v>5</v>
      </c>
      <c r="K65" s="35">
        <v>1</v>
      </c>
      <c r="L65" s="34">
        <f t="shared" si="16"/>
        <v>5</v>
      </c>
      <c r="M65" s="42" t="s">
        <v>574</v>
      </c>
      <c r="N65" s="61" t="s">
        <v>673</v>
      </c>
      <c r="O65" s="61" t="s">
        <v>677</v>
      </c>
      <c r="P65" s="37"/>
      <c r="Q65" s="37" t="s">
        <v>679</v>
      </c>
      <c r="R65" s="60"/>
    </row>
    <row r="66" spans="1:18" s="7" customFormat="1" ht="60">
      <c r="A66" s="48"/>
      <c r="B66" s="45"/>
      <c r="C66" s="38"/>
      <c r="D66" s="31" t="s">
        <v>27</v>
      </c>
      <c r="E66" s="31" t="s">
        <v>80</v>
      </c>
      <c r="F66" s="38" t="str">
        <f t="shared" ref="F66:F71" si="17">IF($C66&lt;&gt;"",C66,"")</f>
        <v/>
      </c>
      <c r="G66" s="34">
        <v>1</v>
      </c>
      <c r="H66" s="34">
        <v>1</v>
      </c>
      <c r="I66" s="34">
        <v>5</v>
      </c>
      <c r="J66" s="35">
        <f t="shared" si="15"/>
        <v>5</v>
      </c>
      <c r="K66" s="35">
        <v>1</v>
      </c>
      <c r="L66" s="34">
        <f t="shared" si="16"/>
        <v>5</v>
      </c>
      <c r="M66" s="42" t="s">
        <v>602</v>
      </c>
      <c r="N66" s="61" t="s">
        <v>676</v>
      </c>
      <c r="O66" s="61" t="s">
        <v>678</v>
      </c>
      <c r="P66" s="37"/>
      <c r="Q66" s="37" t="s">
        <v>680</v>
      </c>
      <c r="R66" s="61"/>
    </row>
    <row r="67" spans="1:18" s="7" customFormat="1" ht="60">
      <c r="A67" s="48"/>
      <c r="B67" s="45"/>
      <c r="C67" s="38"/>
      <c r="D67" s="31" t="s">
        <v>32</v>
      </c>
      <c r="E67" s="31" t="s">
        <v>91</v>
      </c>
      <c r="F67" s="38" t="str">
        <f t="shared" si="17"/>
        <v/>
      </c>
      <c r="G67" s="34">
        <v>1</v>
      </c>
      <c r="H67" s="34">
        <v>1</v>
      </c>
      <c r="I67" s="34">
        <v>5</v>
      </c>
      <c r="J67" s="35">
        <f t="shared" si="15"/>
        <v>5</v>
      </c>
      <c r="K67" s="35">
        <v>1</v>
      </c>
      <c r="L67" s="34">
        <f t="shared" si="16"/>
        <v>5</v>
      </c>
      <c r="M67" s="42" t="s">
        <v>603</v>
      </c>
      <c r="N67" s="61" t="s">
        <v>676</v>
      </c>
      <c r="O67" s="61" t="s">
        <v>678</v>
      </c>
      <c r="P67" s="37"/>
      <c r="Q67" s="37" t="s">
        <v>680</v>
      </c>
      <c r="R67" s="61"/>
    </row>
    <row r="68" spans="1:18" s="7" customFormat="1" ht="45">
      <c r="A68" s="48"/>
      <c r="B68" s="45"/>
      <c r="C68" s="38"/>
      <c r="D68" s="31" t="s">
        <v>19</v>
      </c>
      <c r="E68" s="31" t="s">
        <v>70</v>
      </c>
      <c r="F68" s="38" t="str">
        <f t="shared" si="17"/>
        <v/>
      </c>
      <c r="G68" s="34">
        <v>1</v>
      </c>
      <c r="H68" s="34">
        <v>1</v>
      </c>
      <c r="I68" s="34">
        <v>5</v>
      </c>
      <c r="J68" s="35">
        <f t="shared" si="15"/>
        <v>5</v>
      </c>
      <c r="K68" s="35">
        <v>1</v>
      </c>
      <c r="L68" s="34">
        <f t="shared" si="16"/>
        <v>5</v>
      </c>
      <c r="M68" s="42" t="s">
        <v>610</v>
      </c>
      <c r="N68" s="61" t="s">
        <v>673</v>
      </c>
      <c r="O68" s="61" t="s">
        <v>688</v>
      </c>
      <c r="P68" s="37"/>
      <c r="Q68" s="37" t="s">
        <v>670</v>
      </c>
      <c r="R68" s="61"/>
    </row>
    <row r="69" spans="1:18" s="7" customFormat="1" ht="60">
      <c r="A69" s="48"/>
      <c r="B69" s="45"/>
      <c r="C69" s="38"/>
      <c r="D69" s="31" t="s">
        <v>36</v>
      </c>
      <c r="E69" s="31" t="s">
        <v>67</v>
      </c>
      <c r="F69" s="38" t="str">
        <f t="shared" si="17"/>
        <v/>
      </c>
      <c r="G69" s="34">
        <v>1</v>
      </c>
      <c r="H69" s="34">
        <v>1</v>
      </c>
      <c r="I69" s="34">
        <v>5</v>
      </c>
      <c r="J69" s="35">
        <f t="shared" si="15"/>
        <v>5</v>
      </c>
      <c r="K69" s="35">
        <v>1</v>
      </c>
      <c r="L69" s="41">
        <f t="shared" si="16"/>
        <v>5</v>
      </c>
      <c r="M69" s="42" t="s">
        <v>611</v>
      </c>
      <c r="N69" s="61" t="s">
        <v>673</v>
      </c>
      <c r="O69" s="61" t="s">
        <v>677</v>
      </c>
      <c r="P69" s="37"/>
      <c r="Q69" s="37" t="s">
        <v>679</v>
      </c>
      <c r="R69" s="61"/>
    </row>
    <row r="70" spans="1:18" s="7" customFormat="1" ht="45">
      <c r="A70" s="48"/>
      <c r="B70" s="45"/>
      <c r="C70" s="38"/>
      <c r="D70" s="31" t="s">
        <v>50</v>
      </c>
      <c r="E70" s="30" t="s">
        <v>72</v>
      </c>
      <c r="F70" s="38" t="str">
        <f t="shared" si="17"/>
        <v/>
      </c>
      <c r="G70" s="34">
        <v>1</v>
      </c>
      <c r="H70" s="34">
        <v>1</v>
      </c>
      <c r="I70" s="34">
        <v>5</v>
      </c>
      <c r="J70" s="35">
        <f t="shared" si="15"/>
        <v>5</v>
      </c>
      <c r="K70" s="35">
        <v>1</v>
      </c>
      <c r="L70" s="41">
        <f t="shared" si="16"/>
        <v>5</v>
      </c>
      <c r="M70" s="42" t="s">
        <v>808</v>
      </c>
      <c r="N70" s="61" t="s">
        <v>673</v>
      </c>
      <c r="O70" s="61" t="s">
        <v>683</v>
      </c>
      <c r="P70" s="37"/>
      <c r="Q70" s="37" t="s">
        <v>679</v>
      </c>
      <c r="R70" s="61"/>
    </row>
    <row r="71" spans="1:18" s="7" customFormat="1">
      <c r="A71" s="49"/>
      <c r="B71" s="46"/>
      <c r="C71" s="39"/>
      <c r="D71" s="31"/>
      <c r="E71" s="31"/>
      <c r="F71" s="39" t="str">
        <f t="shared" si="17"/>
        <v/>
      </c>
      <c r="G71" s="34"/>
      <c r="H71" s="34"/>
      <c r="I71" s="34"/>
      <c r="J71" s="35" t="str">
        <f t="shared" si="15"/>
        <v/>
      </c>
      <c r="K71" s="35"/>
      <c r="L71" s="41" t="str">
        <f t="shared" si="16"/>
        <v/>
      </c>
      <c r="M71" s="42"/>
      <c r="N71" s="60"/>
      <c r="O71" s="60"/>
      <c r="P71" s="37"/>
      <c r="Q71" s="37"/>
      <c r="R71" s="60"/>
    </row>
    <row r="72" spans="1:18" s="7" customFormat="1" ht="69.75" customHeight="1">
      <c r="A72" s="47">
        <v>6</v>
      </c>
      <c r="B72" s="44" t="s">
        <v>755</v>
      </c>
      <c r="C72" s="37" t="s">
        <v>744</v>
      </c>
      <c r="D72" s="31" t="s">
        <v>112</v>
      </c>
      <c r="E72" s="31" t="s">
        <v>600</v>
      </c>
      <c r="F72" s="37" t="s">
        <v>744</v>
      </c>
      <c r="G72" s="34">
        <v>5</v>
      </c>
      <c r="H72" s="34">
        <v>5</v>
      </c>
      <c r="I72" s="34">
        <v>5</v>
      </c>
      <c r="J72" s="35">
        <f>IF(MAX(G72:I72)=0,"",MAX(G72:I72))</f>
        <v>5</v>
      </c>
      <c r="K72" s="35">
        <v>1</v>
      </c>
      <c r="L72" s="34">
        <f>IFERROR(J72*K72,"")</f>
        <v>5</v>
      </c>
      <c r="M72" s="42" t="s">
        <v>571</v>
      </c>
      <c r="N72" s="61" t="s">
        <v>673</v>
      </c>
      <c r="O72" s="61" t="s">
        <v>687</v>
      </c>
      <c r="P72" s="37"/>
      <c r="Q72" s="37" t="s">
        <v>668</v>
      </c>
      <c r="R72" s="62">
        <v>43445</v>
      </c>
    </row>
    <row r="73" spans="1:18" s="7" customFormat="1" ht="60">
      <c r="A73" s="48"/>
      <c r="B73" s="45"/>
      <c r="C73" s="38"/>
      <c r="D73" s="31" t="s">
        <v>36</v>
      </c>
      <c r="E73" s="31" t="s">
        <v>67</v>
      </c>
      <c r="F73" s="38" t="str">
        <f>IF($C73&lt;&gt;"",C73,"")</f>
        <v/>
      </c>
      <c r="G73" s="34">
        <v>1</v>
      </c>
      <c r="H73" s="34">
        <v>1</v>
      </c>
      <c r="I73" s="34">
        <v>5</v>
      </c>
      <c r="J73" s="35">
        <f t="shared" ref="J73:J83" si="18">IF(MAX(G73:I73)=0,"",MAX(G73:I73))</f>
        <v>5</v>
      </c>
      <c r="K73" s="35">
        <v>1</v>
      </c>
      <c r="L73" s="34">
        <f t="shared" ref="L73:L83" si="19">IFERROR(J73*K73,"")</f>
        <v>5</v>
      </c>
      <c r="M73" s="42" t="s">
        <v>809</v>
      </c>
      <c r="N73" s="61" t="s">
        <v>673</v>
      </c>
      <c r="O73" s="60" t="s">
        <v>677</v>
      </c>
      <c r="P73" s="37"/>
      <c r="Q73" s="37" t="s">
        <v>679</v>
      </c>
      <c r="R73" s="60"/>
    </row>
    <row r="74" spans="1:18" s="7" customFormat="1" ht="60">
      <c r="A74" s="48"/>
      <c r="B74" s="45"/>
      <c r="C74" s="38"/>
      <c r="D74" s="31" t="s">
        <v>25</v>
      </c>
      <c r="E74" s="31" t="s">
        <v>69</v>
      </c>
      <c r="F74" s="38" t="str">
        <f>IF($C74&lt;&gt;"",C74,"")</f>
        <v/>
      </c>
      <c r="G74" s="34">
        <v>1</v>
      </c>
      <c r="H74" s="34">
        <v>1</v>
      </c>
      <c r="I74" s="34">
        <v>5</v>
      </c>
      <c r="J74" s="35">
        <f t="shared" si="18"/>
        <v>5</v>
      </c>
      <c r="K74" s="35">
        <v>1</v>
      </c>
      <c r="L74" s="34">
        <f t="shared" si="19"/>
        <v>5</v>
      </c>
      <c r="M74" s="42" t="s">
        <v>616</v>
      </c>
      <c r="N74" s="61" t="s">
        <v>673</v>
      </c>
      <c r="O74" s="60" t="s">
        <v>677</v>
      </c>
      <c r="P74" s="37"/>
      <c r="Q74" s="37" t="s">
        <v>679</v>
      </c>
      <c r="R74" s="60"/>
    </row>
    <row r="75" spans="1:18" s="7" customFormat="1" ht="60">
      <c r="A75" s="48"/>
      <c r="B75" s="45"/>
      <c r="C75" s="38"/>
      <c r="D75" s="31" t="s">
        <v>25</v>
      </c>
      <c r="E75" s="31" t="s">
        <v>81</v>
      </c>
      <c r="F75" s="38"/>
      <c r="G75" s="34">
        <v>1</v>
      </c>
      <c r="H75" s="34">
        <v>1</v>
      </c>
      <c r="I75" s="34">
        <v>5</v>
      </c>
      <c r="J75" s="35">
        <f t="shared" si="18"/>
        <v>5</v>
      </c>
      <c r="K75" s="35">
        <v>1</v>
      </c>
      <c r="L75" s="34">
        <f t="shared" si="19"/>
        <v>5</v>
      </c>
      <c r="M75" s="42" t="s">
        <v>614</v>
      </c>
      <c r="N75" s="61" t="s">
        <v>673</v>
      </c>
      <c r="O75" s="60" t="s">
        <v>677</v>
      </c>
      <c r="P75" s="37"/>
      <c r="Q75" s="37" t="s">
        <v>679</v>
      </c>
      <c r="R75" s="60"/>
    </row>
    <row r="76" spans="1:18" s="7" customFormat="1" ht="60">
      <c r="A76" s="48"/>
      <c r="B76" s="45"/>
      <c r="C76" s="38"/>
      <c r="D76" s="31" t="s">
        <v>25</v>
      </c>
      <c r="E76" s="31" t="s">
        <v>90</v>
      </c>
      <c r="F76" s="38"/>
      <c r="G76" s="34">
        <v>1</v>
      </c>
      <c r="H76" s="34">
        <v>1</v>
      </c>
      <c r="I76" s="34">
        <v>5</v>
      </c>
      <c r="J76" s="35">
        <f t="shared" si="18"/>
        <v>5</v>
      </c>
      <c r="K76" s="35">
        <v>1</v>
      </c>
      <c r="L76" s="34">
        <f t="shared" si="19"/>
        <v>5</v>
      </c>
      <c r="M76" s="42" t="s">
        <v>615</v>
      </c>
      <c r="N76" s="61" t="s">
        <v>673</v>
      </c>
      <c r="O76" s="60" t="s">
        <v>677</v>
      </c>
      <c r="P76" s="37"/>
      <c r="Q76" s="37" t="s">
        <v>679</v>
      </c>
      <c r="R76" s="60"/>
    </row>
    <row r="77" spans="1:18" s="7" customFormat="1" ht="60">
      <c r="A77" s="48"/>
      <c r="B77" s="45"/>
      <c r="C77" s="38"/>
      <c r="D77" s="31" t="s">
        <v>25</v>
      </c>
      <c r="E77" s="31" t="s">
        <v>91</v>
      </c>
      <c r="F77" s="38"/>
      <c r="G77" s="34">
        <v>1</v>
      </c>
      <c r="H77" s="34">
        <v>1</v>
      </c>
      <c r="I77" s="34">
        <v>5</v>
      </c>
      <c r="J77" s="35">
        <f t="shared" si="18"/>
        <v>5</v>
      </c>
      <c r="K77" s="35">
        <v>1</v>
      </c>
      <c r="L77" s="34">
        <f t="shared" si="19"/>
        <v>5</v>
      </c>
      <c r="M77" s="42" t="s">
        <v>574</v>
      </c>
      <c r="N77" s="61" t="s">
        <v>673</v>
      </c>
      <c r="O77" s="60" t="s">
        <v>677</v>
      </c>
      <c r="P77" s="37"/>
      <c r="Q77" s="37" t="s">
        <v>679</v>
      </c>
      <c r="R77" s="60"/>
    </row>
    <row r="78" spans="1:18" s="7" customFormat="1" ht="60">
      <c r="A78" s="48"/>
      <c r="B78" s="45"/>
      <c r="C78" s="38"/>
      <c r="D78" s="31" t="s">
        <v>27</v>
      </c>
      <c r="E78" s="31" t="s">
        <v>80</v>
      </c>
      <c r="F78" s="38" t="str">
        <f t="shared" ref="F78:F83" si="20">IF($C78&lt;&gt;"",C78,"")</f>
        <v/>
      </c>
      <c r="G78" s="34">
        <v>1</v>
      </c>
      <c r="H78" s="34">
        <v>1</v>
      </c>
      <c r="I78" s="34">
        <v>5</v>
      </c>
      <c r="J78" s="35">
        <f t="shared" si="18"/>
        <v>5</v>
      </c>
      <c r="K78" s="35">
        <v>1</v>
      </c>
      <c r="L78" s="34">
        <f t="shared" si="19"/>
        <v>5</v>
      </c>
      <c r="M78" s="42" t="s">
        <v>602</v>
      </c>
      <c r="N78" s="61" t="s">
        <v>676</v>
      </c>
      <c r="O78" s="61" t="s">
        <v>678</v>
      </c>
      <c r="P78" s="37"/>
      <c r="Q78" s="37" t="s">
        <v>680</v>
      </c>
      <c r="R78" s="61"/>
    </row>
    <row r="79" spans="1:18" s="7" customFormat="1" ht="60">
      <c r="A79" s="48"/>
      <c r="B79" s="45"/>
      <c r="C79" s="38"/>
      <c r="D79" s="31" t="s">
        <v>32</v>
      </c>
      <c r="E79" s="31" t="s">
        <v>91</v>
      </c>
      <c r="F79" s="38" t="str">
        <f t="shared" si="20"/>
        <v/>
      </c>
      <c r="G79" s="34">
        <v>1</v>
      </c>
      <c r="H79" s="34">
        <v>1</v>
      </c>
      <c r="I79" s="34">
        <v>5</v>
      </c>
      <c r="J79" s="35">
        <f t="shared" si="18"/>
        <v>5</v>
      </c>
      <c r="K79" s="35">
        <v>1</v>
      </c>
      <c r="L79" s="34">
        <f t="shared" si="19"/>
        <v>5</v>
      </c>
      <c r="M79" s="42" t="s">
        <v>603</v>
      </c>
      <c r="N79" s="61" t="s">
        <v>676</v>
      </c>
      <c r="O79" s="61" t="s">
        <v>678</v>
      </c>
      <c r="P79" s="37"/>
      <c r="Q79" s="37" t="s">
        <v>680</v>
      </c>
      <c r="R79" s="61"/>
    </row>
    <row r="80" spans="1:18" s="7" customFormat="1" ht="45">
      <c r="A80" s="48"/>
      <c r="B80" s="45"/>
      <c r="C80" s="38"/>
      <c r="D80" s="31" t="s">
        <v>19</v>
      </c>
      <c r="E80" s="31" t="s">
        <v>70</v>
      </c>
      <c r="F80" s="38" t="str">
        <f t="shared" si="20"/>
        <v/>
      </c>
      <c r="G80" s="34">
        <v>1</v>
      </c>
      <c r="H80" s="34">
        <v>1</v>
      </c>
      <c r="I80" s="34">
        <v>5</v>
      </c>
      <c r="J80" s="35">
        <f t="shared" si="18"/>
        <v>5</v>
      </c>
      <c r="K80" s="35">
        <v>1</v>
      </c>
      <c r="L80" s="34">
        <f t="shared" si="19"/>
        <v>5</v>
      </c>
      <c r="M80" s="42" t="s">
        <v>610</v>
      </c>
      <c r="N80" s="61" t="s">
        <v>673</v>
      </c>
      <c r="O80" s="60" t="s">
        <v>689</v>
      </c>
      <c r="P80" s="37" t="s">
        <v>692</v>
      </c>
      <c r="Q80" s="37" t="s">
        <v>670</v>
      </c>
      <c r="R80" s="62">
        <v>43445</v>
      </c>
    </row>
    <row r="81" spans="1:18" s="7" customFormat="1" ht="45">
      <c r="A81" s="48"/>
      <c r="B81" s="45"/>
      <c r="C81" s="38"/>
      <c r="D81" s="31" t="s">
        <v>36</v>
      </c>
      <c r="E81" s="31" t="s">
        <v>67</v>
      </c>
      <c r="F81" s="38" t="str">
        <f t="shared" si="20"/>
        <v/>
      </c>
      <c r="G81" s="34">
        <v>1</v>
      </c>
      <c r="H81" s="34">
        <v>1</v>
      </c>
      <c r="I81" s="34">
        <v>5</v>
      </c>
      <c r="J81" s="35">
        <f t="shared" si="18"/>
        <v>5</v>
      </c>
      <c r="K81" s="35">
        <v>1</v>
      </c>
      <c r="L81" s="41">
        <f t="shared" si="19"/>
        <v>5</v>
      </c>
      <c r="M81" s="42" t="s">
        <v>611</v>
      </c>
      <c r="N81" s="61" t="s">
        <v>673</v>
      </c>
      <c r="O81" s="61" t="s">
        <v>672</v>
      </c>
      <c r="P81" s="37"/>
      <c r="Q81" s="37" t="s">
        <v>679</v>
      </c>
      <c r="R81" s="61"/>
    </row>
    <row r="82" spans="1:18" s="7" customFormat="1" ht="45">
      <c r="A82" s="48"/>
      <c r="B82" s="45"/>
      <c r="C82" s="38"/>
      <c r="D82" s="31" t="s">
        <v>50</v>
      </c>
      <c r="E82" s="30" t="s">
        <v>72</v>
      </c>
      <c r="F82" s="38" t="str">
        <f t="shared" si="20"/>
        <v/>
      </c>
      <c r="G82" s="34">
        <v>1</v>
      </c>
      <c r="H82" s="34">
        <v>1</v>
      </c>
      <c r="I82" s="34">
        <v>5</v>
      </c>
      <c r="J82" s="35">
        <f t="shared" si="18"/>
        <v>5</v>
      </c>
      <c r="K82" s="35">
        <v>1</v>
      </c>
      <c r="L82" s="41">
        <f t="shared" si="19"/>
        <v>5</v>
      </c>
      <c r="M82" s="42" t="s">
        <v>811</v>
      </c>
      <c r="N82" s="61" t="s">
        <v>673</v>
      </c>
      <c r="O82" s="61" t="s">
        <v>683</v>
      </c>
      <c r="P82" s="37"/>
      <c r="Q82" s="37" t="s">
        <v>679</v>
      </c>
      <c r="R82" s="61"/>
    </row>
    <row r="83" spans="1:18" s="7" customFormat="1">
      <c r="A83" s="49"/>
      <c r="B83" s="46"/>
      <c r="C83" s="39"/>
      <c r="D83" s="31"/>
      <c r="E83" s="31"/>
      <c r="F83" s="39" t="str">
        <f t="shared" si="20"/>
        <v/>
      </c>
      <c r="G83" s="34"/>
      <c r="H83" s="34"/>
      <c r="I83" s="34"/>
      <c r="J83" s="35" t="str">
        <f t="shared" si="18"/>
        <v/>
      </c>
      <c r="K83" s="35"/>
      <c r="L83" s="41" t="str">
        <f t="shared" si="19"/>
        <v/>
      </c>
      <c r="M83" s="42"/>
      <c r="N83" s="61"/>
      <c r="O83" s="61"/>
      <c r="P83" s="37"/>
      <c r="Q83" s="37"/>
      <c r="R83" s="61"/>
    </row>
    <row r="84" spans="1:18" s="7" customFormat="1" ht="69.75" customHeight="1">
      <c r="A84" s="47">
        <v>7</v>
      </c>
      <c r="B84" s="44" t="s">
        <v>763</v>
      </c>
      <c r="C84" s="37" t="s">
        <v>744</v>
      </c>
      <c r="D84" s="31" t="s">
        <v>112</v>
      </c>
      <c r="E84" s="31" t="s">
        <v>600</v>
      </c>
      <c r="F84" s="37" t="s">
        <v>744</v>
      </c>
      <c r="G84" s="34">
        <v>5</v>
      </c>
      <c r="H84" s="34">
        <v>5</v>
      </c>
      <c r="I84" s="34">
        <v>5</v>
      </c>
      <c r="J84" s="35">
        <f>IF(MAX(G84:I84)=0,"",MAX(G84:I84))</f>
        <v>5</v>
      </c>
      <c r="K84" s="35">
        <v>1</v>
      </c>
      <c r="L84" s="34">
        <f>IFERROR(J84*K84,"")</f>
        <v>5</v>
      </c>
      <c r="M84" s="42" t="s">
        <v>571</v>
      </c>
      <c r="N84" s="61" t="s">
        <v>673</v>
      </c>
      <c r="O84" s="61" t="s">
        <v>687</v>
      </c>
      <c r="P84" s="37" t="s">
        <v>692</v>
      </c>
      <c r="Q84" s="37" t="s">
        <v>668</v>
      </c>
      <c r="R84" s="62">
        <v>43445</v>
      </c>
    </row>
    <row r="85" spans="1:18" s="7" customFormat="1" ht="45">
      <c r="A85" s="48"/>
      <c r="B85" s="45"/>
      <c r="C85" s="38"/>
      <c r="D85" s="31" t="s">
        <v>36</v>
      </c>
      <c r="E85" s="31" t="s">
        <v>67</v>
      </c>
      <c r="F85" s="38" t="str">
        <f>IF($C85&lt;&gt;"",C85,"")</f>
        <v/>
      </c>
      <c r="G85" s="34">
        <v>1</v>
      </c>
      <c r="H85" s="34">
        <v>1</v>
      </c>
      <c r="I85" s="34">
        <v>5</v>
      </c>
      <c r="J85" s="35">
        <f t="shared" ref="J85:J95" si="21">IF(MAX(G85:I85)=0,"",MAX(G85:I85))</f>
        <v>5</v>
      </c>
      <c r="K85" s="35">
        <v>1</v>
      </c>
      <c r="L85" s="34">
        <f t="shared" ref="L85:L95" si="22">IFERROR(J85*K85,"")</f>
        <v>5</v>
      </c>
      <c r="M85" s="42" t="s">
        <v>809</v>
      </c>
      <c r="N85" s="61" t="s">
        <v>673</v>
      </c>
      <c r="O85" s="61" t="s">
        <v>672</v>
      </c>
      <c r="P85" s="37"/>
      <c r="Q85" s="37" t="s">
        <v>679</v>
      </c>
      <c r="R85" s="61"/>
    </row>
    <row r="86" spans="1:18" s="7" customFormat="1" ht="60">
      <c r="A86" s="48"/>
      <c r="B86" s="45"/>
      <c r="C86" s="38"/>
      <c r="D86" s="31" t="s">
        <v>25</v>
      </c>
      <c r="E86" s="31" t="s">
        <v>69</v>
      </c>
      <c r="F86" s="38" t="str">
        <f>IF($C86&lt;&gt;"",C86,"")</f>
        <v/>
      </c>
      <c r="G86" s="34">
        <v>1</v>
      </c>
      <c r="H86" s="34">
        <v>1</v>
      </c>
      <c r="I86" s="34">
        <v>5</v>
      </c>
      <c r="J86" s="35">
        <f t="shared" si="21"/>
        <v>5</v>
      </c>
      <c r="K86" s="35">
        <v>1</v>
      </c>
      <c r="L86" s="34">
        <f t="shared" si="22"/>
        <v>5</v>
      </c>
      <c r="M86" s="42" t="s">
        <v>616</v>
      </c>
      <c r="N86" s="61" t="s">
        <v>673</v>
      </c>
      <c r="O86" s="60" t="s">
        <v>677</v>
      </c>
      <c r="P86" s="37"/>
      <c r="Q86" s="37" t="s">
        <v>679</v>
      </c>
      <c r="R86" s="60"/>
    </row>
    <row r="87" spans="1:18" s="7" customFormat="1" ht="60">
      <c r="A87" s="48"/>
      <c r="B87" s="45"/>
      <c r="C87" s="38"/>
      <c r="D87" s="31" t="s">
        <v>25</v>
      </c>
      <c r="E87" s="31" t="s">
        <v>81</v>
      </c>
      <c r="F87" s="38"/>
      <c r="G87" s="34">
        <v>1</v>
      </c>
      <c r="H87" s="34">
        <v>1</v>
      </c>
      <c r="I87" s="34">
        <v>5</v>
      </c>
      <c r="J87" s="35">
        <f t="shared" si="21"/>
        <v>5</v>
      </c>
      <c r="K87" s="35">
        <v>1</v>
      </c>
      <c r="L87" s="34">
        <f t="shared" si="22"/>
        <v>5</v>
      </c>
      <c r="M87" s="42" t="s">
        <v>614</v>
      </c>
      <c r="N87" s="61" t="s">
        <v>673</v>
      </c>
      <c r="O87" s="60" t="s">
        <v>677</v>
      </c>
      <c r="P87" s="37"/>
      <c r="Q87" s="37" t="s">
        <v>679</v>
      </c>
      <c r="R87" s="60"/>
    </row>
    <row r="88" spans="1:18" s="7" customFormat="1" ht="60">
      <c r="A88" s="48"/>
      <c r="B88" s="45"/>
      <c r="C88" s="38"/>
      <c r="D88" s="31" t="s">
        <v>25</v>
      </c>
      <c r="E88" s="31" t="s">
        <v>90</v>
      </c>
      <c r="F88" s="38"/>
      <c r="G88" s="34">
        <v>1</v>
      </c>
      <c r="H88" s="34">
        <v>1</v>
      </c>
      <c r="I88" s="34">
        <v>5</v>
      </c>
      <c r="J88" s="35">
        <f t="shared" si="21"/>
        <v>5</v>
      </c>
      <c r="K88" s="35">
        <v>1</v>
      </c>
      <c r="L88" s="34">
        <f t="shared" si="22"/>
        <v>5</v>
      </c>
      <c r="M88" s="42" t="s">
        <v>609</v>
      </c>
      <c r="N88" s="61" t="s">
        <v>673</v>
      </c>
      <c r="O88" s="60" t="s">
        <v>677</v>
      </c>
      <c r="P88" s="37"/>
      <c r="Q88" s="37" t="s">
        <v>679</v>
      </c>
      <c r="R88" s="60"/>
    </row>
    <row r="89" spans="1:18" s="7" customFormat="1" ht="60">
      <c r="A89" s="48"/>
      <c r="B89" s="45"/>
      <c r="C89" s="38"/>
      <c r="D89" s="31" t="s">
        <v>25</v>
      </c>
      <c r="E89" s="31" t="s">
        <v>91</v>
      </c>
      <c r="F89" s="38"/>
      <c r="G89" s="34">
        <v>1</v>
      </c>
      <c r="H89" s="34">
        <v>1</v>
      </c>
      <c r="I89" s="34">
        <v>5</v>
      </c>
      <c r="J89" s="35">
        <f t="shared" si="21"/>
        <v>5</v>
      </c>
      <c r="K89" s="35">
        <v>1</v>
      </c>
      <c r="L89" s="34">
        <f t="shared" si="22"/>
        <v>5</v>
      </c>
      <c r="M89" s="42" t="s">
        <v>574</v>
      </c>
      <c r="N89" s="61" t="s">
        <v>673</v>
      </c>
      <c r="O89" s="60" t="s">
        <v>677</v>
      </c>
      <c r="P89" s="37"/>
      <c r="Q89" s="37" t="s">
        <v>679</v>
      </c>
      <c r="R89" s="60"/>
    </row>
    <row r="90" spans="1:18" s="7" customFormat="1" ht="60">
      <c r="A90" s="48"/>
      <c r="B90" s="45"/>
      <c r="C90" s="38"/>
      <c r="D90" s="31" t="s">
        <v>27</v>
      </c>
      <c r="E90" s="31" t="s">
        <v>80</v>
      </c>
      <c r="F90" s="38" t="str">
        <f t="shared" ref="F90:F95" si="23">IF($C90&lt;&gt;"",C90,"")</f>
        <v/>
      </c>
      <c r="G90" s="34">
        <v>1</v>
      </c>
      <c r="H90" s="34">
        <v>1</v>
      </c>
      <c r="I90" s="34">
        <v>5</v>
      </c>
      <c r="J90" s="35">
        <f t="shared" si="21"/>
        <v>5</v>
      </c>
      <c r="K90" s="35">
        <v>1</v>
      </c>
      <c r="L90" s="34">
        <f t="shared" si="22"/>
        <v>5</v>
      </c>
      <c r="M90" s="42" t="s">
        <v>602</v>
      </c>
      <c r="N90" s="61" t="s">
        <v>676</v>
      </c>
      <c r="O90" s="61" t="s">
        <v>678</v>
      </c>
      <c r="P90" s="37"/>
      <c r="Q90" s="37" t="s">
        <v>680</v>
      </c>
      <c r="R90" s="61"/>
    </row>
    <row r="91" spans="1:18" s="7" customFormat="1" ht="60">
      <c r="A91" s="48"/>
      <c r="B91" s="45"/>
      <c r="C91" s="38"/>
      <c r="D91" s="31" t="s">
        <v>32</v>
      </c>
      <c r="E91" s="31" t="s">
        <v>91</v>
      </c>
      <c r="F91" s="38" t="str">
        <f t="shared" si="23"/>
        <v/>
      </c>
      <c r="G91" s="34">
        <v>1</v>
      </c>
      <c r="H91" s="34">
        <v>1</v>
      </c>
      <c r="I91" s="34">
        <v>5</v>
      </c>
      <c r="J91" s="35">
        <f t="shared" si="21"/>
        <v>5</v>
      </c>
      <c r="K91" s="35">
        <v>1</v>
      </c>
      <c r="L91" s="34">
        <f t="shared" si="22"/>
        <v>5</v>
      </c>
      <c r="M91" s="42" t="s">
        <v>603</v>
      </c>
      <c r="N91" s="61" t="s">
        <v>676</v>
      </c>
      <c r="O91" s="61" t="s">
        <v>678</v>
      </c>
      <c r="P91" s="37"/>
      <c r="Q91" s="37" t="s">
        <v>680</v>
      </c>
      <c r="R91" s="61"/>
    </row>
    <row r="92" spans="1:18" s="7" customFormat="1" ht="45">
      <c r="A92" s="48"/>
      <c r="B92" s="45"/>
      <c r="C92" s="38"/>
      <c r="D92" s="31" t="s">
        <v>19</v>
      </c>
      <c r="E92" s="31" t="s">
        <v>70</v>
      </c>
      <c r="F92" s="38" t="str">
        <f t="shared" si="23"/>
        <v/>
      </c>
      <c r="G92" s="34">
        <v>1</v>
      </c>
      <c r="H92" s="34">
        <v>1</v>
      </c>
      <c r="I92" s="34">
        <v>5</v>
      </c>
      <c r="J92" s="35">
        <f t="shared" si="21"/>
        <v>5</v>
      </c>
      <c r="K92" s="35">
        <v>1</v>
      </c>
      <c r="L92" s="34">
        <f t="shared" si="22"/>
        <v>5</v>
      </c>
      <c r="M92" s="42" t="s">
        <v>610</v>
      </c>
      <c r="N92" s="61" t="s">
        <v>673</v>
      </c>
      <c r="O92" s="61" t="s">
        <v>689</v>
      </c>
      <c r="P92" s="37" t="s">
        <v>692</v>
      </c>
      <c r="Q92" s="37" t="s">
        <v>668</v>
      </c>
      <c r="R92" s="62">
        <v>43445</v>
      </c>
    </row>
    <row r="93" spans="1:18" s="7" customFormat="1" ht="45">
      <c r="A93" s="48"/>
      <c r="B93" s="45"/>
      <c r="C93" s="38"/>
      <c r="D93" s="31" t="s">
        <v>36</v>
      </c>
      <c r="E93" s="31" t="s">
        <v>67</v>
      </c>
      <c r="F93" s="38" t="str">
        <f t="shared" si="23"/>
        <v/>
      </c>
      <c r="G93" s="34">
        <v>1</v>
      </c>
      <c r="H93" s="34">
        <v>1</v>
      </c>
      <c r="I93" s="34">
        <v>5</v>
      </c>
      <c r="J93" s="35">
        <f t="shared" si="21"/>
        <v>5</v>
      </c>
      <c r="K93" s="35">
        <v>1</v>
      </c>
      <c r="L93" s="41">
        <f t="shared" si="22"/>
        <v>5</v>
      </c>
      <c r="M93" s="42" t="s">
        <v>812</v>
      </c>
      <c r="N93" s="61" t="s">
        <v>673</v>
      </c>
      <c r="O93" s="61" t="s">
        <v>672</v>
      </c>
      <c r="P93" s="37"/>
      <c r="Q93" s="37" t="s">
        <v>679</v>
      </c>
      <c r="R93" s="61"/>
    </row>
    <row r="94" spans="1:18" s="7" customFormat="1" ht="45">
      <c r="A94" s="48"/>
      <c r="B94" s="45"/>
      <c r="C94" s="38"/>
      <c r="D94" s="31" t="s">
        <v>50</v>
      </c>
      <c r="E94" s="30" t="s">
        <v>72</v>
      </c>
      <c r="F94" s="38" t="str">
        <f t="shared" si="23"/>
        <v/>
      </c>
      <c r="G94" s="34">
        <v>1</v>
      </c>
      <c r="H94" s="34">
        <v>1</v>
      </c>
      <c r="I94" s="34">
        <v>5</v>
      </c>
      <c r="J94" s="35">
        <f t="shared" si="21"/>
        <v>5</v>
      </c>
      <c r="K94" s="35">
        <v>1</v>
      </c>
      <c r="L94" s="41">
        <f t="shared" si="22"/>
        <v>5</v>
      </c>
      <c r="M94" s="42" t="s">
        <v>811</v>
      </c>
      <c r="N94" s="61" t="s">
        <v>673</v>
      </c>
      <c r="O94" s="61" t="s">
        <v>683</v>
      </c>
      <c r="P94" s="37"/>
      <c r="Q94" s="37" t="s">
        <v>679</v>
      </c>
      <c r="R94" s="61"/>
    </row>
    <row r="95" spans="1:18" s="7" customFormat="1">
      <c r="A95" s="49"/>
      <c r="B95" s="46"/>
      <c r="C95" s="39"/>
      <c r="D95" s="31"/>
      <c r="E95" s="31"/>
      <c r="F95" s="39" t="str">
        <f t="shared" si="23"/>
        <v/>
      </c>
      <c r="G95" s="34"/>
      <c r="H95" s="34"/>
      <c r="I95" s="34"/>
      <c r="J95" s="35" t="str">
        <f t="shared" si="21"/>
        <v/>
      </c>
      <c r="K95" s="35"/>
      <c r="L95" s="41" t="str">
        <f t="shared" si="22"/>
        <v/>
      </c>
      <c r="M95" s="42"/>
      <c r="N95" s="60"/>
      <c r="O95" s="60"/>
      <c r="P95" s="37"/>
      <c r="Q95" s="37"/>
      <c r="R95" s="60"/>
    </row>
    <row r="96" spans="1:18" s="7" customFormat="1" ht="69.75" customHeight="1">
      <c r="A96" s="47">
        <v>8</v>
      </c>
      <c r="B96" s="44" t="s">
        <v>639</v>
      </c>
      <c r="C96" s="37" t="s">
        <v>434</v>
      </c>
      <c r="D96" s="31" t="s">
        <v>112</v>
      </c>
      <c r="E96" s="31" t="s">
        <v>600</v>
      </c>
      <c r="F96" s="37" t="s">
        <v>435</v>
      </c>
      <c r="G96" s="34">
        <v>5</v>
      </c>
      <c r="H96" s="34">
        <v>5</v>
      </c>
      <c r="I96" s="34">
        <v>5</v>
      </c>
      <c r="J96" s="35">
        <f>IF(MAX(G96:I96)=0,"",MAX(G96:I96))</f>
        <v>5</v>
      </c>
      <c r="K96" s="35">
        <v>1</v>
      </c>
      <c r="L96" s="34">
        <f>IFERROR(J96*K96,"")</f>
        <v>5</v>
      </c>
      <c r="M96" s="42" t="s">
        <v>571</v>
      </c>
      <c r="N96" s="61" t="s">
        <v>673</v>
      </c>
      <c r="O96" s="61" t="s">
        <v>685</v>
      </c>
      <c r="P96" s="37"/>
      <c r="Q96" s="37" t="s">
        <v>679</v>
      </c>
      <c r="R96" s="61"/>
    </row>
    <row r="97" spans="1:18" s="7" customFormat="1" ht="75">
      <c r="A97" s="48"/>
      <c r="B97" s="45"/>
      <c r="C97" s="38"/>
      <c r="D97" s="31" t="s">
        <v>36</v>
      </c>
      <c r="E97" s="31" t="s">
        <v>67</v>
      </c>
      <c r="F97" s="38" t="str">
        <f>IF($C97&lt;&gt;"",C97,"")</f>
        <v/>
      </c>
      <c r="G97" s="34">
        <v>1</v>
      </c>
      <c r="H97" s="34">
        <v>1</v>
      </c>
      <c r="I97" s="34">
        <v>5</v>
      </c>
      <c r="J97" s="35">
        <f t="shared" ref="J97:J107" si="24">IF(MAX(G97:I97)=0,"",MAX(G97:I97))</f>
        <v>5</v>
      </c>
      <c r="K97" s="35">
        <v>1</v>
      </c>
      <c r="L97" s="34">
        <f t="shared" ref="L97:L107" si="25">IFERROR(J97*K97,"")</f>
        <v>5</v>
      </c>
      <c r="M97" s="42" t="s">
        <v>618</v>
      </c>
      <c r="N97" s="61" t="s">
        <v>673</v>
      </c>
      <c r="O97" s="61" t="s">
        <v>672</v>
      </c>
      <c r="P97" s="37"/>
      <c r="Q97" s="37" t="s">
        <v>679</v>
      </c>
      <c r="R97" s="61"/>
    </row>
    <row r="98" spans="1:18" s="7" customFormat="1" ht="60">
      <c r="A98" s="48"/>
      <c r="B98" s="45"/>
      <c r="C98" s="38"/>
      <c r="D98" s="31" t="s">
        <v>25</v>
      </c>
      <c r="E98" s="31" t="s">
        <v>69</v>
      </c>
      <c r="F98" s="38" t="str">
        <f>IF($C98&lt;&gt;"",C98,"")</f>
        <v/>
      </c>
      <c r="G98" s="34">
        <v>1</v>
      </c>
      <c r="H98" s="34">
        <v>1</v>
      </c>
      <c r="I98" s="34">
        <v>5</v>
      </c>
      <c r="J98" s="35">
        <f t="shared" si="24"/>
        <v>5</v>
      </c>
      <c r="K98" s="35">
        <v>1</v>
      </c>
      <c r="L98" s="34">
        <f t="shared" si="25"/>
        <v>5</v>
      </c>
      <c r="M98" s="42" t="s">
        <v>607</v>
      </c>
      <c r="N98" s="61" t="s">
        <v>673</v>
      </c>
      <c r="O98" s="61" t="s">
        <v>677</v>
      </c>
      <c r="P98" s="37"/>
      <c r="Q98" s="37" t="s">
        <v>679</v>
      </c>
      <c r="R98" s="61"/>
    </row>
    <row r="99" spans="1:18" s="7" customFormat="1" ht="60">
      <c r="A99" s="48"/>
      <c r="B99" s="45"/>
      <c r="C99" s="38"/>
      <c r="D99" s="31" t="s">
        <v>25</v>
      </c>
      <c r="E99" s="31" t="s">
        <v>81</v>
      </c>
      <c r="F99" s="38"/>
      <c r="G99" s="34">
        <v>1</v>
      </c>
      <c r="H99" s="34">
        <v>1</v>
      </c>
      <c r="I99" s="34">
        <v>5</v>
      </c>
      <c r="J99" s="35">
        <f t="shared" si="24"/>
        <v>5</v>
      </c>
      <c r="K99" s="35">
        <v>1</v>
      </c>
      <c r="L99" s="34">
        <f t="shared" si="25"/>
        <v>5</v>
      </c>
      <c r="M99" s="42" t="s">
        <v>619</v>
      </c>
      <c r="N99" s="61" t="s">
        <v>673</v>
      </c>
      <c r="O99" s="61" t="s">
        <v>677</v>
      </c>
      <c r="P99" s="37"/>
      <c r="Q99" s="37" t="s">
        <v>679</v>
      </c>
      <c r="R99" s="61"/>
    </row>
    <row r="100" spans="1:18" s="7" customFormat="1" ht="60">
      <c r="A100" s="48"/>
      <c r="B100" s="45"/>
      <c r="C100" s="38"/>
      <c r="D100" s="31" t="s">
        <v>25</v>
      </c>
      <c r="E100" s="31" t="s">
        <v>90</v>
      </c>
      <c r="F100" s="38"/>
      <c r="G100" s="34">
        <v>1</v>
      </c>
      <c r="H100" s="34">
        <v>1</v>
      </c>
      <c r="I100" s="34">
        <v>5</v>
      </c>
      <c r="J100" s="35">
        <f t="shared" si="24"/>
        <v>5</v>
      </c>
      <c r="K100" s="35">
        <v>1</v>
      </c>
      <c r="L100" s="34">
        <f t="shared" si="25"/>
        <v>5</v>
      </c>
      <c r="M100" s="42" t="s">
        <v>620</v>
      </c>
      <c r="N100" s="61" t="s">
        <v>673</v>
      </c>
      <c r="O100" s="61" t="s">
        <v>677</v>
      </c>
      <c r="P100" s="37"/>
      <c r="Q100" s="37" t="s">
        <v>679</v>
      </c>
      <c r="R100" s="61"/>
    </row>
    <row r="101" spans="1:18" s="7" customFormat="1" ht="60">
      <c r="A101" s="48"/>
      <c r="B101" s="45"/>
      <c r="C101" s="38"/>
      <c r="D101" s="31" t="s">
        <v>25</v>
      </c>
      <c r="E101" s="31" t="s">
        <v>91</v>
      </c>
      <c r="F101" s="38"/>
      <c r="G101" s="34">
        <v>1</v>
      </c>
      <c r="H101" s="34">
        <v>1</v>
      </c>
      <c r="I101" s="34">
        <v>5</v>
      </c>
      <c r="J101" s="35">
        <f t="shared" si="24"/>
        <v>5</v>
      </c>
      <c r="K101" s="35">
        <v>1</v>
      </c>
      <c r="L101" s="34">
        <f t="shared" si="25"/>
        <v>5</v>
      </c>
      <c r="M101" s="42" t="s">
        <v>574</v>
      </c>
      <c r="N101" s="61" t="s">
        <v>673</v>
      </c>
      <c r="O101" s="61" t="s">
        <v>677</v>
      </c>
      <c r="P101" s="37"/>
      <c r="Q101" s="37" t="s">
        <v>679</v>
      </c>
      <c r="R101" s="61"/>
    </row>
    <row r="102" spans="1:18" s="7" customFormat="1" ht="60">
      <c r="A102" s="48"/>
      <c r="B102" s="45"/>
      <c r="C102" s="38"/>
      <c r="D102" s="31" t="s">
        <v>27</v>
      </c>
      <c r="E102" s="31" t="s">
        <v>80</v>
      </c>
      <c r="F102" s="38" t="str">
        <f t="shared" ref="F102:F107" si="26">IF($C102&lt;&gt;"",C102,"")</f>
        <v/>
      </c>
      <c r="G102" s="34">
        <v>1</v>
      </c>
      <c r="H102" s="34">
        <v>1</v>
      </c>
      <c r="I102" s="34">
        <v>5</v>
      </c>
      <c r="J102" s="35">
        <f t="shared" si="24"/>
        <v>5</v>
      </c>
      <c r="K102" s="35">
        <v>1</v>
      </c>
      <c r="L102" s="34">
        <f t="shared" si="25"/>
        <v>5</v>
      </c>
      <c r="M102" s="42" t="s">
        <v>602</v>
      </c>
      <c r="N102" s="61" t="s">
        <v>676</v>
      </c>
      <c r="O102" s="61" t="s">
        <v>678</v>
      </c>
      <c r="P102" s="37"/>
      <c r="Q102" s="37" t="s">
        <v>680</v>
      </c>
      <c r="R102" s="61"/>
    </row>
    <row r="103" spans="1:18" s="7" customFormat="1" ht="60">
      <c r="A103" s="48"/>
      <c r="B103" s="45"/>
      <c r="C103" s="38"/>
      <c r="D103" s="31" t="s">
        <v>32</v>
      </c>
      <c r="E103" s="31" t="s">
        <v>91</v>
      </c>
      <c r="F103" s="38" t="str">
        <f t="shared" si="26"/>
        <v/>
      </c>
      <c r="G103" s="34">
        <v>1</v>
      </c>
      <c r="H103" s="34">
        <v>1</v>
      </c>
      <c r="I103" s="34">
        <v>5</v>
      </c>
      <c r="J103" s="35">
        <f t="shared" si="24"/>
        <v>5</v>
      </c>
      <c r="K103" s="35">
        <v>1</v>
      </c>
      <c r="L103" s="34">
        <f t="shared" si="25"/>
        <v>5</v>
      </c>
      <c r="M103" s="42" t="s">
        <v>603</v>
      </c>
      <c r="N103" s="61" t="s">
        <v>676</v>
      </c>
      <c r="O103" s="61" t="s">
        <v>678</v>
      </c>
      <c r="P103" s="37"/>
      <c r="Q103" s="37" t="s">
        <v>680</v>
      </c>
      <c r="R103" s="61"/>
    </row>
    <row r="104" spans="1:18" s="7" customFormat="1" ht="45">
      <c r="A104" s="48"/>
      <c r="B104" s="45"/>
      <c r="C104" s="38"/>
      <c r="D104" s="31" t="s">
        <v>19</v>
      </c>
      <c r="E104" s="31" t="s">
        <v>70</v>
      </c>
      <c r="F104" s="38" t="str">
        <f t="shared" si="26"/>
        <v/>
      </c>
      <c r="G104" s="34">
        <v>1</v>
      </c>
      <c r="H104" s="34">
        <v>1</v>
      </c>
      <c r="I104" s="34">
        <v>5</v>
      </c>
      <c r="J104" s="35">
        <f t="shared" si="24"/>
        <v>5</v>
      </c>
      <c r="K104" s="35">
        <v>1</v>
      </c>
      <c r="L104" s="34">
        <f t="shared" si="25"/>
        <v>5</v>
      </c>
      <c r="M104" s="42" t="s">
        <v>610</v>
      </c>
      <c r="N104" s="61" t="s">
        <v>673</v>
      </c>
      <c r="O104" s="60" t="s">
        <v>685</v>
      </c>
      <c r="P104" s="37"/>
      <c r="Q104" s="37" t="s">
        <v>679</v>
      </c>
      <c r="R104" s="60"/>
    </row>
    <row r="105" spans="1:18" s="7" customFormat="1" ht="45">
      <c r="A105" s="48"/>
      <c r="B105" s="45"/>
      <c r="C105" s="38"/>
      <c r="D105" s="31" t="s">
        <v>36</v>
      </c>
      <c r="E105" s="31" t="s">
        <v>67</v>
      </c>
      <c r="F105" s="38" t="str">
        <f t="shared" si="26"/>
        <v/>
      </c>
      <c r="G105" s="34">
        <v>1</v>
      </c>
      <c r="H105" s="34">
        <v>1</v>
      </c>
      <c r="I105" s="34">
        <v>5</v>
      </c>
      <c r="J105" s="35">
        <f t="shared" si="24"/>
        <v>5</v>
      </c>
      <c r="K105" s="35">
        <v>1</v>
      </c>
      <c r="L105" s="41">
        <f t="shared" si="25"/>
        <v>5</v>
      </c>
      <c r="M105" s="42" t="s">
        <v>611</v>
      </c>
      <c r="N105" s="61" t="s">
        <v>673</v>
      </c>
      <c r="O105" s="61" t="s">
        <v>672</v>
      </c>
      <c r="P105" s="37"/>
      <c r="Q105" s="37" t="s">
        <v>679</v>
      </c>
      <c r="R105" s="60"/>
    </row>
    <row r="106" spans="1:18" s="7" customFormat="1" ht="60">
      <c r="A106" s="48"/>
      <c r="B106" s="45"/>
      <c r="C106" s="38"/>
      <c r="D106" s="31" t="s">
        <v>50</v>
      </c>
      <c r="E106" s="30" t="s">
        <v>72</v>
      </c>
      <c r="F106" s="38" t="str">
        <f t="shared" si="26"/>
        <v/>
      </c>
      <c r="G106" s="34">
        <v>1</v>
      </c>
      <c r="H106" s="34">
        <v>1</v>
      </c>
      <c r="I106" s="34">
        <v>5</v>
      </c>
      <c r="J106" s="35">
        <f t="shared" si="24"/>
        <v>5</v>
      </c>
      <c r="K106" s="35">
        <v>1</v>
      </c>
      <c r="L106" s="41">
        <f t="shared" si="25"/>
        <v>5</v>
      </c>
      <c r="M106" s="42" t="s">
        <v>612</v>
      </c>
      <c r="N106" s="61" t="s">
        <v>673</v>
      </c>
      <c r="O106" s="61" t="s">
        <v>683</v>
      </c>
      <c r="P106" s="37"/>
      <c r="Q106" s="37" t="s">
        <v>679</v>
      </c>
      <c r="R106" s="60"/>
    </row>
    <row r="107" spans="1:18" s="7" customFormat="1">
      <c r="A107" s="49"/>
      <c r="B107" s="46"/>
      <c r="C107" s="39"/>
      <c r="D107" s="31"/>
      <c r="E107" s="31"/>
      <c r="F107" s="39" t="str">
        <f t="shared" si="26"/>
        <v/>
      </c>
      <c r="G107" s="34"/>
      <c r="H107" s="34"/>
      <c r="I107" s="34"/>
      <c r="J107" s="35" t="str">
        <f t="shared" si="24"/>
        <v/>
      </c>
      <c r="K107" s="35"/>
      <c r="L107" s="41" t="str">
        <f t="shared" si="25"/>
        <v/>
      </c>
      <c r="M107" s="42"/>
      <c r="N107" s="60"/>
      <c r="O107" s="60"/>
      <c r="P107" s="37"/>
      <c r="Q107" s="37"/>
      <c r="R107" s="60"/>
    </row>
    <row r="108" spans="1:18" s="7" customFormat="1" ht="69.75" customHeight="1">
      <c r="A108" s="47">
        <v>9</v>
      </c>
      <c r="B108" s="44" t="s">
        <v>645</v>
      </c>
      <c r="C108" s="37" t="s">
        <v>434</v>
      </c>
      <c r="D108" s="31" t="s">
        <v>112</v>
      </c>
      <c r="E108" s="31" t="s">
        <v>600</v>
      </c>
      <c r="F108" s="37" t="s">
        <v>435</v>
      </c>
      <c r="G108" s="34">
        <v>5</v>
      </c>
      <c r="H108" s="34">
        <v>5</v>
      </c>
      <c r="I108" s="34">
        <v>5</v>
      </c>
      <c r="J108" s="35">
        <f>IF(MAX(G108:I108)=0,"",MAX(G108:I108))</f>
        <v>5</v>
      </c>
      <c r="K108" s="35">
        <v>1</v>
      </c>
      <c r="L108" s="34">
        <f>IFERROR(J108*K108,"")</f>
        <v>5</v>
      </c>
      <c r="M108" s="42" t="s">
        <v>571</v>
      </c>
      <c r="N108" s="61" t="s">
        <v>673</v>
      </c>
      <c r="O108" s="61" t="s">
        <v>685</v>
      </c>
      <c r="P108" s="37"/>
      <c r="Q108" s="37" t="s">
        <v>679</v>
      </c>
      <c r="R108" s="61"/>
    </row>
    <row r="109" spans="1:18" s="7" customFormat="1" ht="75">
      <c r="A109" s="48"/>
      <c r="B109" s="45"/>
      <c r="C109" s="38"/>
      <c r="D109" s="31" t="s">
        <v>36</v>
      </c>
      <c r="E109" s="31" t="s">
        <v>67</v>
      </c>
      <c r="F109" s="38" t="str">
        <f>IF($C109&lt;&gt;"",C109,"")</f>
        <v/>
      </c>
      <c r="G109" s="34">
        <v>1</v>
      </c>
      <c r="H109" s="34">
        <v>1</v>
      </c>
      <c r="I109" s="34">
        <v>5</v>
      </c>
      <c r="J109" s="35">
        <f t="shared" ref="J109:J119" si="27">IF(MAX(G109:I109)=0,"",MAX(G109:I109))</f>
        <v>5</v>
      </c>
      <c r="K109" s="35">
        <v>1</v>
      </c>
      <c r="L109" s="34">
        <f t="shared" ref="L109:L119" si="28">IFERROR(J109*K109,"")</f>
        <v>5</v>
      </c>
      <c r="M109" s="42" t="s">
        <v>618</v>
      </c>
      <c r="N109" s="61" t="s">
        <v>673</v>
      </c>
      <c r="O109" s="61" t="s">
        <v>672</v>
      </c>
      <c r="P109" s="37"/>
      <c r="Q109" s="37" t="s">
        <v>679</v>
      </c>
      <c r="R109" s="61"/>
    </row>
    <row r="110" spans="1:18" s="7" customFormat="1" ht="60">
      <c r="A110" s="48"/>
      <c r="B110" s="45"/>
      <c r="C110" s="38"/>
      <c r="D110" s="31" t="s">
        <v>25</v>
      </c>
      <c r="E110" s="31" t="s">
        <v>69</v>
      </c>
      <c r="F110" s="38" t="str">
        <f>IF($C110&lt;&gt;"",C110,"")</f>
        <v/>
      </c>
      <c r="G110" s="34">
        <v>1</v>
      </c>
      <c r="H110" s="34">
        <v>1</v>
      </c>
      <c r="I110" s="34">
        <v>5</v>
      </c>
      <c r="J110" s="35">
        <f t="shared" si="27"/>
        <v>5</v>
      </c>
      <c r="K110" s="35">
        <v>1</v>
      </c>
      <c r="L110" s="34">
        <f t="shared" si="28"/>
        <v>5</v>
      </c>
      <c r="M110" s="42" t="s">
        <v>607</v>
      </c>
      <c r="N110" s="61" t="s">
        <v>673</v>
      </c>
      <c r="O110" s="61" t="s">
        <v>677</v>
      </c>
      <c r="P110" s="37"/>
      <c r="Q110" s="37" t="s">
        <v>679</v>
      </c>
      <c r="R110" s="61"/>
    </row>
    <row r="111" spans="1:18" s="7" customFormat="1" ht="60">
      <c r="A111" s="48"/>
      <c r="B111" s="45"/>
      <c r="C111" s="38"/>
      <c r="D111" s="31" t="s">
        <v>25</v>
      </c>
      <c r="E111" s="31" t="s">
        <v>81</v>
      </c>
      <c r="F111" s="38"/>
      <c r="G111" s="34">
        <v>1</v>
      </c>
      <c r="H111" s="34">
        <v>1</v>
      </c>
      <c r="I111" s="34">
        <v>5</v>
      </c>
      <c r="J111" s="35">
        <f t="shared" si="27"/>
        <v>5</v>
      </c>
      <c r="K111" s="35">
        <v>1</v>
      </c>
      <c r="L111" s="34">
        <f t="shared" si="28"/>
        <v>5</v>
      </c>
      <c r="M111" s="42" t="s">
        <v>619</v>
      </c>
      <c r="N111" s="61" t="s">
        <v>673</v>
      </c>
      <c r="O111" s="61" t="s">
        <v>677</v>
      </c>
      <c r="P111" s="37"/>
      <c r="Q111" s="37" t="s">
        <v>679</v>
      </c>
      <c r="R111" s="61"/>
    </row>
    <row r="112" spans="1:18" s="7" customFormat="1" ht="60">
      <c r="A112" s="48"/>
      <c r="B112" s="45"/>
      <c r="C112" s="38"/>
      <c r="D112" s="31" t="s">
        <v>25</v>
      </c>
      <c r="E112" s="31" t="s">
        <v>90</v>
      </c>
      <c r="F112" s="38"/>
      <c r="G112" s="34">
        <v>1</v>
      </c>
      <c r="H112" s="34">
        <v>1</v>
      </c>
      <c r="I112" s="34">
        <v>5</v>
      </c>
      <c r="J112" s="35">
        <f t="shared" si="27"/>
        <v>5</v>
      </c>
      <c r="K112" s="35">
        <v>1</v>
      </c>
      <c r="L112" s="34">
        <f t="shared" si="28"/>
        <v>5</v>
      </c>
      <c r="M112" s="42" t="s">
        <v>620</v>
      </c>
      <c r="N112" s="61" t="s">
        <v>673</v>
      </c>
      <c r="O112" s="61" t="s">
        <v>677</v>
      </c>
      <c r="P112" s="37"/>
      <c r="Q112" s="37" t="s">
        <v>679</v>
      </c>
      <c r="R112" s="61"/>
    </row>
    <row r="113" spans="1:18" s="7" customFormat="1" ht="60">
      <c r="A113" s="48"/>
      <c r="B113" s="45"/>
      <c r="C113" s="38"/>
      <c r="D113" s="31" t="s">
        <v>25</v>
      </c>
      <c r="E113" s="31" t="s">
        <v>91</v>
      </c>
      <c r="F113" s="38"/>
      <c r="G113" s="34">
        <v>1</v>
      </c>
      <c r="H113" s="34">
        <v>1</v>
      </c>
      <c r="I113" s="34">
        <v>5</v>
      </c>
      <c r="J113" s="35">
        <f t="shared" si="27"/>
        <v>5</v>
      </c>
      <c r="K113" s="35">
        <v>1</v>
      </c>
      <c r="L113" s="34">
        <f t="shared" si="28"/>
        <v>5</v>
      </c>
      <c r="M113" s="42" t="s">
        <v>574</v>
      </c>
      <c r="N113" s="61" t="s">
        <v>673</v>
      </c>
      <c r="O113" s="61" t="s">
        <v>677</v>
      </c>
      <c r="P113" s="37"/>
      <c r="Q113" s="37" t="s">
        <v>679</v>
      </c>
      <c r="R113" s="61"/>
    </row>
    <row r="114" spans="1:18" s="7" customFormat="1" ht="60">
      <c r="A114" s="48"/>
      <c r="B114" s="45"/>
      <c r="C114" s="38"/>
      <c r="D114" s="31" t="s">
        <v>27</v>
      </c>
      <c r="E114" s="31" t="s">
        <v>80</v>
      </c>
      <c r="F114" s="38" t="str">
        <f t="shared" ref="F114:F119" si="29">IF($C114&lt;&gt;"",C114,"")</f>
        <v/>
      </c>
      <c r="G114" s="34">
        <v>1</v>
      </c>
      <c r="H114" s="34">
        <v>1</v>
      </c>
      <c r="I114" s="34">
        <v>5</v>
      </c>
      <c r="J114" s="35">
        <f t="shared" si="27"/>
        <v>5</v>
      </c>
      <c r="K114" s="35">
        <v>1</v>
      </c>
      <c r="L114" s="34">
        <f t="shared" si="28"/>
        <v>5</v>
      </c>
      <c r="M114" s="42" t="s">
        <v>602</v>
      </c>
      <c r="N114" s="61" t="s">
        <v>676</v>
      </c>
      <c r="O114" s="61" t="s">
        <v>678</v>
      </c>
      <c r="P114" s="37"/>
      <c r="Q114" s="37" t="s">
        <v>680</v>
      </c>
      <c r="R114" s="61"/>
    </row>
    <row r="115" spans="1:18" s="7" customFormat="1" ht="60">
      <c r="A115" s="48"/>
      <c r="B115" s="45"/>
      <c r="C115" s="38"/>
      <c r="D115" s="31" t="s">
        <v>32</v>
      </c>
      <c r="E115" s="31" t="s">
        <v>91</v>
      </c>
      <c r="F115" s="38" t="str">
        <f t="shared" si="29"/>
        <v/>
      </c>
      <c r="G115" s="34">
        <v>1</v>
      </c>
      <c r="H115" s="34">
        <v>1</v>
      </c>
      <c r="I115" s="34">
        <v>5</v>
      </c>
      <c r="J115" s="35">
        <f t="shared" si="27"/>
        <v>5</v>
      </c>
      <c r="K115" s="35">
        <v>1</v>
      </c>
      <c r="L115" s="34">
        <f t="shared" si="28"/>
        <v>5</v>
      </c>
      <c r="M115" s="42" t="s">
        <v>603</v>
      </c>
      <c r="N115" s="61" t="s">
        <v>676</v>
      </c>
      <c r="O115" s="61" t="s">
        <v>678</v>
      </c>
      <c r="P115" s="37"/>
      <c r="Q115" s="37" t="s">
        <v>680</v>
      </c>
      <c r="R115" s="61"/>
    </row>
    <row r="116" spans="1:18" s="7" customFormat="1" ht="45">
      <c r="A116" s="48"/>
      <c r="B116" s="45"/>
      <c r="C116" s="38"/>
      <c r="D116" s="31" t="s">
        <v>19</v>
      </c>
      <c r="E116" s="31" t="s">
        <v>70</v>
      </c>
      <c r="F116" s="38" t="str">
        <f t="shared" si="29"/>
        <v/>
      </c>
      <c r="G116" s="34">
        <v>1</v>
      </c>
      <c r="H116" s="34">
        <v>1</v>
      </c>
      <c r="I116" s="34">
        <v>5</v>
      </c>
      <c r="J116" s="35">
        <f t="shared" si="27"/>
        <v>5</v>
      </c>
      <c r="K116" s="35">
        <v>1</v>
      </c>
      <c r="L116" s="34">
        <f t="shared" si="28"/>
        <v>5</v>
      </c>
      <c r="M116" s="42" t="s">
        <v>610</v>
      </c>
      <c r="N116" s="61" t="s">
        <v>673</v>
      </c>
      <c r="O116" s="61" t="s">
        <v>685</v>
      </c>
      <c r="P116" s="37"/>
      <c r="Q116" s="37" t="s">
        <v>679</v>
      </c>
      <c r="R116" s="61"/>
    </row>
    <row r="117" spans="1:18" s="7" customFormat="1" ht="75">
      <c r="A117" s="48"/>
      <c r="B117" s="45"/>
      <c r="C117" s="38"/>
      <c r="D117" s="31" t="s">
        <v>492</v>
      </c>
      <c r="E117" s="32" t="s">
        <v>73</v>
      </c>
      <c r="F117" s="38" t="str">
        <f t="shared" si="29"/>
        <v/>
      </c>
      <c r="G117" s="34">
        <v>1</v>
      </c>
      <c r="H117" s="34">
        <v>1</v>
      </c>
      <c r="I117" s="34">
        <v>5</v>
      </c>
      <c r="J117" s="35">
        <f t="shared" si="27"/>
        <v>5</v>
      </c>
      <c r="K117" s="35">
        <v>1</v>
      </c>
      <c r="L117" s="41">
        <f t="shared" si="28"/>
        <v>5</v>
      </c>
      <c r="M117" s="42" t="s">
        <v>622</v>
      </c>
      <c r="N117" s="61" t="s">
        <v>673</v>
      </c>
      <c r="O117" s="61" t="s">
        <v>685</v>
      </c>
      <c r="P117" s="37"/>
      <c r="Q117" s="37" t="s">
        <v>679</v>
      </c>
      <c r="R117" s="61"/>
    </row>
    <row r="118" spans="1:18" s="7" customFormat="1" ht="60">
      <c r="A118" s="48"/>
      <c r="B118" s="45"/>
      <c r="C118" s="38"/>
      <c r="D118" s="31" t="s">
        <v>50</v>
      </c>
      <c r="E118" s="40" t="s">
        <v>72</v>
      </c>
      <c r="F118" s="38" t="str">
        <f t="shared" si="29"/>
        <v/>
      </c>
      <c r="G118" s="34">
        <v>1</v>
      </c>
      <c r="H118" s="34">
        <v>1</v>
      </c>
      <c r="I118" s="34">
        <v>5</v>
      </c>
      <c r="J118" s="35">
        <f t="shared" si="27"/>
        <v>5</v>
      </c>
      <c r="K118" s="35">
        <v>1</v>
      </c>
      <c r="L118" s="41">
        <f t="shared" si="28"/>
        <v>5</v>
      </c>
      <c r="M118" s="42" t="s">
        <v>612</v>
      </c>
      <c r="N118" s="61" t="s">
        <v>673</v>
      </c>
      <c r="O118" s="61" t="s">
        <v>683</v>
      </c>
      <c r="P118" s="37"/>
      <c r="Q118" s="37" t="s">
        <v>679</v>
      </c>
      <c r="R118" s="60"/>
    </row>
    <row r="119" spans="1:18" s="7" customFormat="1">
      <c r="A119" s="49"/>
      <c r="B119" s="46"/>
      <c r="C119" s="39"/>
      <c r="D119" s="31"/>
      <c r="E119" s="31"/>
      <c r="F119" s="39" t="str">
        <f t="shared" si="29"/>
        <v/>
      </c>
      <c r="G119" s="34"/>
      <c r="H119" s="34"/>
      <c r="I119" s="34"/>
      <c r="J119" s="35" t="str">
        <f t="shared" si="27"/>
        <v/>
      </c>
      <c r="K119" s="35"/>
      <c r="L119" s="41" t="str">
        <f t="shared" si="28"/>
        <v/>
      </c>
      <c r="M119" s="42"/>
      <c r="N119" s="60"/>
      <c r="O119" s="60"/>
      <c r="P119" s="37"/>
      <c r="Q119" s="37"/>
      <c r="R119" s="60"/>
    </row>
    <row r="120" spans="1:18" s="7" customFormat="1" ht="69.75" customHeight="1">
      <c r="A120" s="47">
        <v>10</v>
      </c>
      <c r="B120" s="44" t="s">
        <v>627</v>
      </c>
      <c r="C120" s="37" t="s">
        <v>434</v>
      </c>
      <c r="D120" s="31" t="s">
        <v>112</v>
      </c>
      <c r="E120" s="31" t="s">
        <v>600</v>
      </c>
      <c r="F120" s="37" t="s">
        <v>435</v>
      </c>
      <c r="G120" s="34">
        <v>1</v>
      </c>
      <c r="H120" s="34">
        <v>5</v>
      </c>
      <c r="I120" s="34">
        <v>5</v>
      </c>
      <c r="J120" s="35">
        <f>IF(MAX(G120:I120)=0,"",MAX(G120:I120))</f>
        <v>5</v>
      </c>
      <c r="K120" s="35">
        <v>1</v>
      </c>
      <c r="L120" s="34">
        <f>IFERROR(J120*K120,"")</f>
        <v>5</v>
      </c>
      <c r="M120" s="42" t="s">
        <v>571</v>
      </c>
      <c r="N120" s="61" t="s">
        <v>673</v>
      </c>
      <c r="O120" s="61" t="s">
        <v>685</v>
      </c>
      <c r="P120" s="37"/>
      <c r="Q120" s="37" t="s">
        <v>679</v>
      </c>
      <c r="R120" s="60"/>
    </row>
    <row r="121" spans="1:18" s="7" customFormat="1" ht="75">
      <c r="A121" s="48"/>
      <c r="B121" s="45"/>
      <c r="C121" s="38"/>
      <c r="D121" s="31" t="s">
        <v>36</v>
      </c>
      <c r="E121" s="31" t="s">
        <v>67</v>
      </c>
      <c r="F121" s="38" t="str">
        <f>IF($C121&lt;&gt;"",C121,"")</f>
        <v/>
      </c>
      <c r="G121" s="34">
        <v>1</v>
      </c>
      <c r="H121" s="34">
        <v>1</v>
      </c>
      <c r="I121" s="34">
        <v>5</v>
      </c>
      <c r="J121" s="35">
        <f t="shared" ref="J121:J131" si="30">IF(MAX(G121:I121)=0,"",MAX(G121:I121))</f>
        <v>5</v>
      </c>
      <c r="K121" s="35">
        <v>1</v>
      </c>
      <c r="L121" s="34">
        <f t="shared" ref="L121:L131" si="31">IFERROR(J121*K121,"")</f>
        <v>5</v>
      </c>
      <c r="M121" s="42" t="s">
        <v>618</v>
      </c>
      <c r="N121" s="61" t="s">
        <v>673</v>
      </c>
      <c r="O121" s="61" t="s">
        <v>672</v>
      </c>
      <c r="P121" s="37"/>
      <c r="Q121" s="37" t="s">
        <v>679</v>
      </c>
      <c r="R121" s="60"/>
    </row>
    <row r="122" spans="1:18" s="7" customFormat="1" ht="60">
      <c r="A122" s="48"/>
      <c r="B122" s="45"/>
      <c r="C122" s="38"/>
      <c r="D122" s="31" t="s">
        <v>25</v>
      </c>
      <c r="E122" s="31" t="s">
        <v>69</v>
      </c>
      <c r="F122" s="38" t="str">
        <f>IF($C122&lt;&gt;"",C122,"")</f>
        <v/>
      </c>
      <c r="G122" s="34">
        <v>1</v>
      </c>
      <c r="H122" s="34">
        <v>1</v>
      </c>
      <c r="I122" s="34">
        <v>5</v>
      </c>
      <c r="J122" s="35">
        <f t="shared" si="30"/>
        <v>5</v>
      </c>
      <c r="K122" s="35">
        <v>1</v>
      </c>
      <c r="L122" s="34">
        <f t="shared" si="31"/>
        <v>5</v>
      </c>
      <c r="M122" s="42" t="s">
        <v>607</v>
      </c>
      <c r="N122" s="61" t="s">
        <v>673</v>
      </c>
      <c r="O122" s="61" t="s">
        <v>677</v>
      </c>
      <c r="P122" s="37"/>
      <c r="Q122" s="37" t="s">
        <v>679</v>
      </c>
      <c r="R122" s="60"/>
    </row>
    <row r="123" spans="1:18" s="7" customFormat="1" ht="60">
      <c r="A123" s="48"/>
      <c r="B123" s="45"/>
      <c r="C123" s="38"/>
      <c r="D123" s="31" t="s">
        <v>25</v>
      </c>
      <c r="E123" s="31" t="s">
        <v>81</v>
      </c>
      <c r="F123" s="38"/>
      <c r="G123" s="34">
        <v>1</v>
      </c>
      <c r="H123" s="34">
        <v>1</v>
      </c>
      <c r="I123" s="34">
        <v>5</v>
      </c>
      <c r="J123" s="35">
        <f t="shared" si="30"/>
        <v>5</v>
      </c>
      <c r="K123" s="35">
        <v>1</v>
      </c>
      <c r="L123" s="34">
        <f t="shared" si="31"/>
        <v>5</v>
      </c>
      <c r="M123" s="42" t="s">
        <v>619</v>
      </c>
      <c r="N123" s="61" t="s">
        <v>673</v>
      </c>
      <c r="O123" s="61" t="s">
        <v>677</v>
      </c>
      <c r="P123" s="37"/>
      <c r="Q123" s="37" t="s">
        <v>679</v>
      </c>
      <c r="R123" s="60"/>
    </row>
    <row r="124" spans="1:18" s="7" customFormat="1" ht="60">
      <c r="A124" s="48"/>
      <c r="B124" s="45"/>
      <c r="C124" s="38"/>
      <c r="D124" s="31" t="s">
        <v>25</v>
      </c>
      <c r="E124" s="31" t="s">
        <v>90</v>
      </c>
      <c r="F124" s="38"/>
      <c r="G124" s="34">
        <v>1</v>
      </c>
      <c r="H124" s="34">
        <v>1</v>
      </c>
      <c r="I124" s="34">
        <v>5</v>
      </c>
      <c r="J124" s="35">
        <f t="shared" si="30"/>
        <v>5</v>
      </c>
      <c r="K124" s="35">
        <v>1</v>
      </c>
      <c r="L124" s="34">
        <f t="shared" si="31"/>
        <v>5</v>
      </c>
      <c r="M124" s="42" t="s">
        <v>620</v>
      </c>
      <c r="N124" s="61" t="s">
        <v>673</v>
      </c>
      <c r="O124" s="61" t="s">
        <v>677</v>
      </c>
      <c r="P124" s="37"/>
      <c r="Q124" s="37" t="s">
        <v>679</v>
      </c>
      <c r="R124" s="60"/>
    </row>
    <row r="125" spans="1:18" s="7" customFormat="1" ht="60">
      <c r="A125" s="48"/>
      <c r="B125" s="45"/>
      <c r="C125" s="38"/>
      <c r="D125" s="31" t="s">
        <v>25</v>
      </c>
      <c r="E125" s="31" t="s">
        <v>91</v>
      </c>
      <c r="F125" s="38"/>
      <c r="G125" s="34">
        <v>1</v>
      </c>
      <c r="H125" s="34">
        <v>1</v>
      </c>
      <c r="I125" s="34">
        <v>5</v>
      </c>
      <c r="J125" s="35">
        <f t="shared" si="30"/>
        <v>5</v>
      </c>
      <c r="K125" s="35">
        <v>1</v>
      </c>
      <c r="L125" s="34">
        <f t="shared" si="31"/>
        <v>5</v>
      </c>
      <c r="M125" s="42" t="s">
        <v>574</v>
      </c>
      <c r="N125" s="61" t="s">
        <v>673</v>
      </c>
      <c r="O125" s="61" t="s">
        <v>677</v>
      </c>
      <c r="P125" s="37"/>
      <c r="Q125" s="37" t="s">
        <v>679</v>
      </c>
      <c r="R125" s="60"/>
    </row>
    <row r="126" spans="1:18" s="7" customFormat="1" ht="60">
      <c r="A126" s="48"/>
      <c r="B126" s="45"/>
      <c r="C126" s="38"/>
      <c r="D126" s="31" t="s">
        <v>27</v>
      </c>
      <c r="E126" s="31" t="s">
        <v>80</v>
      </c>
      <c r="F126" s="38" t="str">
        <f t="shared" ref="F126:F131" si="32">IF($C126&lt;&gt;"",C126,"")</f>
        <v/>
      </c>
      <c r="G126" s="34">
        <v>1</v>
      </c>
      <c r="H126" s="34">
        <v>1</v>
      </c>
      <c r="I126" s="34">
        <v>5</v>
      </c>
      <c r="J126" s="35">
        <f t="shared" si="30"/>
        <v>5</v>
      </c>
      <c r="K126" s="35">
        <v>1</v>
      </c>
      <c r="L126" s="34">
        <f t="shared" si="31"/>
        <v>5</v>
      </c>
      <c r="M126" s="42" t="s">
        <v>602</v>
      </c>
      <c r="N126" s="61" t="s">
        <v>676</v>
      </c>
      <c r="O126" s="61" t="s">
        <v>678</v>
      </c>
      <c r="P126" s="37"/>
      <c r="Q126" s="37" t="s">
        <v>680</v>
      </c>
      <c r="R126" s="60"/>
    </row>
    <row r="127" spans="1:18" s="7" customFormat="1" ht="60">
      <c r="A127" s="48"/>
      <c r="B127" s="45"/>
      <c r="C127" s="38"/>
      <c r="D127" s="31" t="s">
        <v>32</v>
      </c>
      <c r="E127" s="31" t="s">
        <v>91</v>
      </c>
      <c r="F127" s="38" t="str">
        <f t="shared" si="32"/>
        <v/>
      </c>
      <c r="G127" s="34">
        <v>1</v>
      </c>
      <c r="H127" s="34">
        <v>1</v>
      </c>
      <c r="I127" s="34">
        <v>5</v>
      </c>
      <c r="J127" s="35">
        <f t="shared" si="30"/>
        <v>5</v>
      </c>
      <c r="K127" s="35">
        <v>1</v>
      </c>
      <c r="L127" s="34">
        <f t="shared" si="31"/>
        <v>5</v>
      </c>
      <c r="M127" s="42" t="s">
        <v>603</v>
      </c>
      <c r="N127" s="61" t="s">
        <v>676</v>
      </c>
      <c r="O127" s="61" t="s">
        <v>678</v>
      </c>
      <c r="P127" s="37"/>
      <c r="Q127" s="37" t="s">
        <v>680</v>
      </c>
      <c r="R127" s="60"/>
    </row>
    <row r="128" spans="1:18" s="7" customFormat="1" ht="45">
      <c r="A128" s="48"/>
      <c r="B128" s="45"/>
      <c r="C128" s="38"/>
      <c r="D128" s="31" t="s">
        <v>19</v>
      </c>
      <c r="E128" s="31" t="s">
        <v>70</v>
      </c>
      <c r="F128" s="38" t="str">
        <f t="shared" si="32"/>
        <v/>
      </c>
      <c r="G128" s="34">
        <v>1</v>
      </c>
      <c r="H128" s="34">
        <v>1</v>
      </c>
      <c r="I128" s="34">
        <v>5</v>
      </c>
      <c r="J128" s="35">
        <f t="shared" si="30"/>
        <v>5</v>
      </c>
      <c r="K128" s="35">
        <v>1</v>
      </c>
      <c r="L128" s="34">
        <f t="shared" si="31"/>
        <v>5</v>
      </c>
      <c r="M128" s="42" t="s">
        <v>610</v>
      </c>
      <c r="N128" s="61" t="s">
        <v>673</v>
      </c>
      <c r="O128" s="61" t="s">
        <v>685</v>
      </c>
      <c r="P128" s="37"/>
      <c r="Q128" s="37" t="s">
        <v>679</v>
      </c>
      <c r="R128" s="60"/>
    </row>
    <row r="129" spans="1:18" s="7" customFormat="1" ht="60">
      <c r="A129" s="48"/>
      <c r="B129" s="45"/>
      <c r="C129" s="38"/>
      <c r="D129" s="31" t="s">
        <v>10</v>
      </c>
      <c r="E129" s="31" t="s">
        <v>67</v>
      </c>
      <c r="F129" s="38" t="str">
        <f t="shared" si="32"/>
        <v/>
      </c>
      <c r="G129" s="34">
        <v>1</v>
      </c>
      <c r="H129" s="34">
        <v>1</v>
      </c>
      <c r="I129" s="34">
        <v>5</v>
      </c>
      <c r="J129" s="35">
        <f t="shared" si="30"/>
        <v>5</v>
      </c>
      <c r="K129" s="35">
        <v>1</v>
      </c>
      <c r="L129" s="41">
        <f t="shared" si="31"/>
        <v>5</v>
      </c>
      <c r="M129" s="42" t="s">
        <v>621</v>
      </c>
      <c r="N129" s="61" t="s">
        <v>673</v>
      </c>
      <c r="O129" s="61" t="s">
        <v>685</v>
      </c>
      <c r="P129" s="37"/>
      <c r="Q129" s="37" t="s">
        <v>679</v>
      </c>
      <c r="R129" s="60"/>
    </row>
    <row r="130" spans="1:18" s="7" customFormat="1" ht="60">
      <c r="A130" s="48"/>
      <c r="B130" s="45"/>
      <c r="C130" s="38"/>
      <c r="D130" s="31" t="s">
        <v>50</v>
      </c>
      <c r="E130" s="30" t="s">
        <v>72</v>
      </c>
      <c r="F130" s="38" t="str">
        <f t="shared" si="32"/>
        <v/>
      </c>
      <c r="G130" s="34">
        <v>1</v>
      </c>
      <c r="H130" s="34">
        <v>1</v>
      </c>
      <c r="I130" s="34">
        <v>5</v>
      </c>
      <c r="J130" s="35">
        <f t="shared" si="30"/>
        <v>5</v>
      </c>
      <c r="K130" s="35">
        <v>1</v>
      </c>
      <c r="L130" s="41">
        <f t="shared" si="31"/>
        <v>5</v>
      </c>
      <c r="M130" s="42" t="s">
        <v>612</v>
      </c>
      <c r="N130" s="61" t="s">
        <v>673</v>
      </c>
      <c r="O130" s="61" t="s">
        <v>683</v>
      </c>
      <c r="P130" s="37"/>
      <c r="Q130" s="37" t="s">
        <v>679</v>
      </c>
      <c r="R130" s="60"/>
    </row>
    <row r="131" spans="1:18" s="7" customFormat="1">
      <c r="A131" s="49"/>
      <c r="B131" s="46"/>
      <c r="C131" s="39"/>
      <c r="D131" s="31"/>
      <c r="E131" s="31"/>
      <c r="F131" s="39" t="str">
        <f t="shared" si="32"/>
        <v/>
      </c>
      <c r="G131" s="34"/>
      <c r="H131" s="34"/>
      <c r="I131" s="34"/>
      <c r="J131" s="35" t="str">
        <f t="shared" si="30"/>
        <v/>
      </c>
      <c r="K131" s="35"/>
      <c r="L131" s="41" t="str">
        <f t="shared" si="31"/>
        <v/>
      </c>
      <c r="M131" s="42"/>
      <c r="N131" s="60"/>
      <c r="O131" s="60"/>
      <c r="P131" s="37"/>
      <c r="Q131" s="37"/>
      <c r="R131" s="60"/>
    </row>
    <row r="132" spans="1:18" s="7" customFormat="1" ht="69.75" customHeight="1">
      <c r="A132" s="47">
        <v>11</v>
      </c>
      <c r="B132" s="44" t="s">
        <v>644</v>
      </c>
      <c r="C132" s="37" t="s">
        <v>434</v>
      </c>
      <c r="D132" s="31" t="s">
        <v>112</v>
      </c>
      <c r="E132" s="31" t="s">
        <v>649</v>
      </c>
      <c r="F132" s="37" t="s">
        <v>435</v>
      </c>
      <c r="G132" s="34">
        <v>5</v>
      </c>
      <c r="H132" s="34">
        <v>5</v>
      </c>
      <c r="I132" s="34">
        <v>5</v>
      </c>
      <c r="J132" s="35">
        <f>IF(MAX(G132:I132)=0,"",MAX(G132:I132))</f>
        <v>5</v>
      </c>
      <c r="K132" s="35">
        <v>1</v>
      </c>
      <c r="L132" s="34">
        <f>IFERROR(J132*K132,"")</f>
        <v>5</v>
      </c>
      <c r="M132" s="42" t="s">
        <v>571</v>
      </c>
      <c r="N132" s="61" t="s">
        <v>673</v>
      </c>
      <c r="O132" s="61" t="s">
        <v>685</v>
      </c>
      <c r="P132" s="37"/>
      <c r="Q132" s="37" t="s">
        <v>679</v>
      </c>
      <c r="R132" s="60"/>
    </row>
    <row r="133" spans="1:18" s="7" customFormat="1" ht="75">
      <c r="A133" s="48"/>
      <c r="B133" s="45"/>
      <c r="C133" s="38"/>
      <c r="D133" s="31" t="s">
        <v>36</v>
      </c>
      <c r="E133" s="31" t="s">
        <v>67</v>
      </c>
      <c r="F133" s="38" t="str">
        <f>IF($C133&lt;&gt;"",C133,"")</f>
        <v/>
      </c>
      <c r="G133" s="34">
        <v>1</v>
      </c>
      <c r="H133" s="34">
        <v>1</v>
      </c>
      <c r="I133" s="34">
        <v>5</v>
      </c>
      <c r="J133" s="35">
        <f t="shared" ref="J133:J143" si="33">IF(MAX(G133:I133)=0,"",MAX(G133:I133))</f>
        <v>5</v>
      </c>
      <c r="K133" s="35">
        <v>1</v>
      </c>
      <c r="L133" s="34">
        <f t="shared" ref="L133:L143" si="34">IFERROR(J133*K133,"")</f>
        <v>5</v>
      </c>
      <c r="M133" s="42" t="s">
        <v>618</v>
      </c>
      <c r="N133" s="61" t="s">
        <v>673</v>
      </c>
      <c r="O133" s="61" t="s">
        <v>672</v>
      </c>
      <c r="P133" s="37"/>
      <c r="Q133" s="37" t="s">
        <v>679</v>
      </c>
      <c r="R133" s="60"/>
    </row>
    <row r="134" spans="1:18" s="7" customFormat="1" ht="60">
      <c r="A134" s="48"/>
      <c r="B134" s="45"/>
      <c r="C134" s="38"/>
      <c r="D134" s="31" t="s">
        <v>25</v>
      </c>
      <c r="E134" s="31" t="s">
        <v>69</v>
      </c>
      <c r="F134" s="38" t="str">
        <f>IF($C134&lt;&gt;"",C134,"")</f>
        <v/>
      </c>
      <c r="G134" s="34">
        <v>1</v>
      </c>
      <c r="H134" s="34">
        <v>1</v>
      </c>
      <c r="I134" s="34">
        <v>5</v>
      </c>
      <c r="J134" s="35">
        <f t="shared" si="33"/>
        <v>5</v>
      </c>
      <c r="K134" s="35">
        <v>1</v>
      </c>
      <c r="L134" s="34">
        <f t="shared" si="34"/>
        <v>5</v>
      </c>
      <c r="M134" s="42" t="s">
        <v>607</v>
      </c>
      <c r="N134" s="61" t="s">
        <v>673</v>
      </c>
      <c r="O134" s="61" t="s">
        <v>677</v>
      </c>
      <c r="P134" s="37"/>
      <c r="Q134" s="37" t="s">
        <v>679</v>
      </c>
      <c r="R134" s="60"/>
    </row>
    <row r="135" spans="1:18" s="7" customFormat="1" ht="60">
      <c r="A135" s="48"/>
      <c r="B135" s="45"/>
      <c r="C135" s="38"/>
      <c r="D135" s="31" t="s">
        <v>25</v>
      </c>
      <c r="E135" s="31" t="s">
        <v>81</v>
      </c>
      <c r="F135" s="38"/>
      <c r="G135" s="34">
        <v>1</v>
      </c>
      <c r="H135" s="34">
        <v>1</v>
      </c>
      <c r="I135" s="34">
        <v>5</v>
      </c>
      <c r="J135" s="35">
        <f t="shared" si="33"/>
        <v>5</v>
      </c>
      <c r="K135" s="35">
        <v>1</v>
      </c>
      <c r="L135" s="34">
        <f t="shared" si="34"/>
        <v>5</v>
      </c>
      <c r="M135" s="42" t="s">
        <v>619</v>
      </c>
      <c r="N135" s="61" t="s">
        <v>673</v>
      </c>
      <c r="O135" s="61" t="s">
        <v>677</v>
      </c>
      <c r="P135" s="37"/>
      <c r="Q135" s="37" t="s">
        <v>679</v>
      </c>
      <c r="R135" s="60"/>
    </row>
    <row r="136" spans="1:18" s="7" customFormat="1" ht="60">
      <c r="A136" s="48"/>
      <c r="B136" s="45"/>
      <c r="C136" s="38"/>
      <c r="D136" s="31" t="s">
        <v>25</v>
      </c>
      <c r="E136" s="31" t="s">
        <v>90</v>
      </c>
      <c r="F136" s="38"/>
      <c r="G136" s="34">
        <v>1</v>
      </c>
      <c r="H136" s="34">
        <v>1</v>
      </c>
      <c r="I136" s="34">
        <v>5</v>
      </c>
      <c r="J136" s="35">
        <f t="shared" si="33"/>
        <v>5</v>
      </c>
      <c r="K136" s="35">
        <v>1</v>
      </c>
      <c r="L136" s="34">
        <f t="shared" si="34"/>
        <v>5</v>
      </c>
      <c r="M136" s="42" t="s">
        <v>620</v>
      </c>
      <c r="N136" s="61" t="s">
        <v>673</v>
      </c>
      <c r="O136" s="61" t="s">
        <v>677</v>
      </c>
      <c r="P136" s="37"/>
      <c r="Q136" s="37" t="s">
        <v>679</v>
      </c>
      <c r="R136" s="60"/>
    </row>
    <row r="137" spans="1:18" s="7" customFormat="1" ht="60">
      <c r="A137" s="48"/>
      <c r="B137" s="45"/>
      <c r="C137" s="38"/>
      <c r="D137" s="31" t="s">
        <v>25</v>
      </c>
      <c r="E137" s="31" t="s">
        <v>91</v>
      </c>
      <c r="F137" s="38"/>
      <c r="G137" s="34">
        <v>1</v>
      </c>
      <c r="H137" s="34">
        <v>1</v>
      </c>
      <c r="I137" s="34">
        <v>5</v>
      </c>
      <c r="J137" s="35">
        <f t="shared" si="33"/>
        <v>5</v>
      </c>
      <c r="K137" s="35">
        <v>1</v>
      </c>
      <c r="L137" s="34">
        <f t="shared" si="34"/>
        <v>5</v>
      </c>
      <c r="M137" s="42" t="s">
        <v>574</v>
      </c>
      <c r="N137" s="61" t="s">
        <v>673</v>
      </c>
      <c r="O137" s="61" t="s">
        <v>677</v>
      </c>
      <c r="P137" s="37"/>
      <c r="Q137" s="37" t="s">
        <v>679</v>
      </c>
      <c r="R137" s="60"/>
    </row>
    <row r="138" spans="1:18" s="7" customFormat="1" ht="60">
      <c r="A138" s="48"/>
      <c r="B138" s="45"/>
      <c r="C138" s="38"/>
      <c r="D138" s="31" t="s">
        <v>27</v>
      </c>
      <c r="E138" s="31" t="s">
        <v>80</v>
      </c>
      <c r="F138" s="38" t="str">
        <f t="shared" ref="F138:F143" si="35">IF($C138&lt;&gt;"",C138,"")</f>
        <v/>
      </c>
      <c r="G138" s="34">
        <v>1</v>
      </c>
      <c r="H138" s="34">
        <v>1</v>
      </c>
      <c r="I138" s="34">
        <v>5</v>
      </c>
      <c r="J138" s="35">
        <f t="shared" si="33"/>
        <v>5</v>
      </c>
      <c r="K138" s="35">
        <v>1</v>
      </c>
      <c r="L138" s="34">
        <f t="shared" si="34"/>
        <v>5</v>
      </c>
      <c r="M138" s="42" t="s">
        <v>602</v>
      </c>
      <c r="N138" s="61" t="s">
        <v>676</v>
      </c>
      <c r="O138" s="61" t="s">
        <v>678</v>
      </c>
      <c r="P138" s="37"/>
      <c r="Q138" s="37" t="s">
        <v>680</v>
      </c>
      <c r="R138" s="60"/>
    </row>
    <row r="139" spans="1:18" s="7" customFormat="1" ht="60">
      <c r="A139" s="48"/>
      <c r="B139" s="45"/>
      <c r="C139" s="38"/>
      <c r="D139" s="31" t="s">
        <v>32</v>
      </c>
      <c r="E139" s="31" t="s">
        <v>91</v>
      </c>
      <c r="F139" s="38" t="str">
        <f t="shared" si="35"/>
        <v/>
      </c>
      <c r="G139" s="34">
        <v>1</v>
      </c>
      <c r="H139" s="34">
        <v>1</v>
      </c>
      <c r="I139" s="34">
        <v>5</v>
      </c>
      <c r="J139" s="35">
        <f t="shared" si="33"/>
        <v>5</v>
      </c>
      <c r="K139" s="35">
        <v>1</v>
      </c>
      <c r="L139" s="34">
        <f t="shared" si="34"/>
        <v>5</v>
      </c>
      <c r="M139" s="42" t="s">
        <v>603</v>
      </c>
      <c r="N139" s="61" t="s">
        <v>676</v>
      </c>
      <c r="O139" s="61" t="s">
        <v>678</v>
      </c>
      <c r="P139" s="37"/>
      <c r="Q139" s="37" t="s">
        <v>680</v>
      </c>
      <c r="R139" s="60"/>
    </row>
    <row r="140" spans="1:18" s="7" customFormat="1" ht="45">
      <c r="A140" s="48"/>
      <c r="B140" s="45"/>
      <c r="C140" s="38"/>
      <c r="D140" s="31" t="s">
        <v>19</v>
      </c>
      <c r="E140" s="31" t="s">
        <v>70</v>
      </c>
      <c r="F140" s="38" t="str">
        <f t="shared" si="35"/>
        <v/>
      </c>
      <c r="G140" s="34">
        <v>1</v>
      </c>
      <c r="H140" s="34">
        <v>1</v>
      </c>
      <c r="I140" s="34">
        <v>5</v>
      </c>
      <c r="J140" s="35">
        <f t="shared" si="33"/>
        <v>5</v>
      </c>
      <c r="K140" s="35">
        <v>1</v>
      </c>
      <c r="L140" s="34">
        <f t="shared" si="34"/>
        <v>5</v>
      </c>
      <c r="M140" s="42" t="s">
        <v>610</v>
      </c>
      <c r="N140" s="61" t="s">
        <v>673</v>
      </c>
      <c r="O140" s="61" t="s">
        <v>685</v>
      </c>
      <c r="P140" s="37"/>
      <c r="Q140" s="37" t="s">
        <v>679</v>
      </c>
      <c r="R140" s="60"/>
    </row>
    <row r="141" spans="1:18" s="7" customFormat="1" ht="60">
      <c r="A141" s="48"/>
      <c r="B141" s="45"/>
      <c r="C141" s="38"/>
      <c r="D141" s="31" t="s">
        <v>10</v>
      </c>
      <c r="E141" s="31" t="s">
        <v>67</v>
      </c>
      <c r="F141" s="38" t="str">
        <f t="shared" si="35"/>
        <v/>
      </c>
      <c r="G141" s="34">
        <v>1</v>
      </c>
      <c r="H141" s="34">
        <v>1</v>
      </c>
      <c r="I141" s="34">
        <v>5</v>
      </c>
      <c r="J141" s="35">
        <f t="shared" si="33"/>
        <v>5</v>
      </c>
      <c r="K141" s="35">
        <v>1</v>
      </c>
      <c r="L141" s="41">
        <f t="shared" si="34"/>
        <v>5</v>
      </c>
      <c r="M141" s="42" t="s">
        <v>621</v>
      </c>
      <c r="N141" s="61" t="s">
        <v>673</v>
      </c>
      <c r="O141" s="61" t="s">
        <v>685</v>
      </c>
      <c r="P141" s="37"/>
      <c r="Q141" s="37" t="s">
        <v>679</v>
      </c>
      <c r="R141" s="60"/>
    </row>
    <row r="142" spans="1:18" s="7" customFormat="1" ht="60">
      <c r="A142" s="48"/>
      <c r="B142" s="45"/>
      <c r="C142" s="38"/>
      <c r="D142" s="31" t="s">
        <v>50</v>
      </c>
      <c r="E142" s="30" t="s">
        <v>72</v>
      </c>
      <c r="F142" s="38" t="str">
        <f t="shared" si="35"/>
        <v/>
      </c>
      <c r="G142" s="34">
        <v>1</v>
      </c>
      <c r="H142" s="34">
        <v>1</v>
      </c>
      <c r="I142" s="34">
        <v>5</v>
      </c>
      <c r="J142" s="35">
        <f t="shared" si="33"/>
        <v>5</v>
      </c>
      <c r="K142" s="35">
        <v>1</v>
      </c>
      <c r="L142" s="41">
        <f t="shared" si="34"/>
        <v>5</v>
      </c>
      <c r="M142" s="42" t="s">
        <v>612</v>
      </c>
      <c r="N142" s="61" t="s">
        <v>673</v>
      </c>
      <c r="O142" s="61" t="s">
        <v>683</v>
      </c>
      <c r="P142" s="37"/>
      <c r="Q142" s="37" t="s">
        <v>679</v>
      </c>
      <c r="R142" s="60"/>
    </row>
    <row r="143" spans="1:18" s="7" customFormat="1">
      <c r="A143" s="49"/>
      <c r="B143" s="46"/>
      <c r="C143" s="39"/>
      <c r="D143" s="31"/>
      <c r="E143" s="31"/>
      <c r="F143" s="39" t="str">
        <f t="shared" si="35"/>
        <v/>
      </c>
      <c r="G143" s="34"/>
      <c r="H143" s="34"/>
      <c r="I143" s="34"/>
      <c r="J143" s="35" t="str">
        <f t="shared" si="33"/>
        <v/>
      </c>
      <c r="K143" s="35"/>
      <c r="L143" s="41" t="str">
        <f t="shared" si="34"/>
        <v/>
      </c>
      <c r="M143" s="42"/>
      <c r="N143" s="60"/>
      <c r="O143" s="60"/>
      <c r="P143" s="37"/>
      <c r="Q143" s="37"/>
      <c r="R143" s="60"/>
    </row>
    <row r="144" spans="1:18" s="7" customFormat="1" ht="69.75" customHeight="1">
      <c r="A144" s="47">
        <v>12</v>
      </c>
      <c r="B144" s="44" t="s">
        <v>642</v>
      </c>
      <c r="C144" s="37" t="s">
        <v>434</v>
      </c>
      <c r="D144" s="31" t="s">
        <v>112</v>
      </c>
      <c r="E144" s="31" t="s">
        <v>650</v>
      </c>
      <c r="F144" s="37" t="s">
        <v>435</v>
      </c>
      <c r="G144" s="34">
        <v>5</v>
      </c>
      <c r="H144" s="34">
        <v>5</v>
      </c>
      <c r="I144" s="34">
        <v>5</v>
      </c>
      <c r="J144" s="35">
        <f>IF(MAX(G144:I144)=0,"",MAX(G144:I144))</f>
        <v>5</v>
      </c>
      <c r="K144" s="35">
        <v>1</v>
      </c>
      <c r="L144" s="34">
        <f>IFERROR(J144*K144,"")</f>
        <v>5</v>
      </c>
      <c r="M144" s="42" t="s">
        <v>571</v>
      </c>
      <c r="N144" s="61" t="s">
        <v>673</v>
      </c>
      <c r="O144" s="61" t="s">
        <v>685</v>
      </c>
      <c r="P144" s="37"/>
      <c r="Q144" s="37" t="s">
        <v>679</v>
      </c>
      <c r="R144" s="60"/>
    </row>
    <row r="145" spans="1:18" s="7" customFormat="1" ht="75">
      <c r="A145" s="48"/>
      <c r="B145" s="45"/>
      <c r="C145" s="38"/>
      <c r="D145" s="31" t="s">
        <v>36</v>
      </c>
      <c r="E145" s="31" t="s">
        <v>67</v>
      </c>
      <c r="F145" s="38" t="str">
        <f>IF($C145&lt;&gt;"",C145,"")</f>
        <v/>
      </c>
      <c r="G145" s="34">
        <v>1</v>
      </c>
      <c r="H145" s="34">
        <v>1</v>
      </c>
      <c r="I145" s="34">
        <v>5</v>
      </c>
      <c r="J145" s="35">
        <f t="shared" ref="J145:J147" si="36">IF(MAX(G145:I145)=0,"",MAX(G145:I145))</f>
        <v>5</v>
      </c>
      <c r="K145" s="35">
        <v>1</v>
      </c>
      <c r="L145" s="34">
        <f t="shared" ref="L145:L147" si="37">IFERROR(J145*K145,"")</f>
        <v>5</v>
      </c>
      <c r="M145" s="42" t="s">
        <v>618</v>
      </c>
      <c r="N145" s="61" t="s">
        <v>673</v>
      </c>
      <c r="O145" s="61" t="s">
        <v>672</v>
      </c>
      <c r="P145" s="37"/>
      <c r="Q145" s="37" t="s">
        <v>679</v>
      </c>
      <c r="R145" s="60"/>
    </row>
    <row r="146" spans="1:18" s="7" customFormat="1" ht="60">
      <c r="A146" s="48"/>
      <c r="B146" s="45"/>
      <c r="C146" s="38"/>
      <c r="D146" s="31" t="s">
        <v>10</v>
      </c>
      <c r="E146" s="31" t="s">
        <v>67</v>
      </c>
      <c r="F146" s="38" t="str">
        <f t="shared" ref="F146:F147" si="38">IF($C146&lt;&gt;"",C146,"")</f>
        <v/>
      </c>
      <c r="G146" s="34">
        <v>1</v>
      </c>
      <c r="H146" s="34">
        <v>1</v>
      </c>
      <c r="I146" s="34">
        <v>5</v>
      </c>
      <c r="J146" s="35">
        <f t="shared" si="36"/>
        <v>5</v>
      </c>
      <c r="K146" s="35">
        <v>1</v>
      </c>
      <c r="L146" s="41">
        <f t="shared" si="37"/>
        <v>5</v>
      </c>
      <c r="M146" s="42" t="s">
        <v>621</v>
      </c>
      <c r="N146" s="61" t="s">
        <v>673</v>
      </c>
      <c r="O146" s="61" t="s">
        <v>677</v>
      </c>
      <c r="P146" s="37"/>
      <c r="Q146" s="37" t="s">
        <v>679</v>
      </c>
      <c r="R146" s="60"/>
    </row>
    <row r="147" spans="1:18" s="7" customFormat="1" ht="60">
      <c r="A147" s="48"/>
      <c r="B147" s="45"/>
      <c r="C147" s="38"/>
      <c r="D147" s="31" t="s">
        <v>50</v>
      </c>
      <c r="E147" s="30" t="s">
        <v>72</v>
      </c>
      <c r="F147" s="38" t="str">
        <f t="shared" si="38"/>
        <v/>
      </c>
      <c r="G147" s="34">
        <v>1</v>
      </c>
      <c r="H147" s="34">
        <v>1</v>
      </c>
      <c r="I147" s="34">
        <v>5</v>
      </c>
      <c r="J147" s="35">
        <f t="shared" si="36"/>
        <v>5</v>
      </c>
      <c r="K147" s="35">
        <v>1</v>
      </c>
      <c r="L147" s="41">
        <f t="shared" si="37"/>
        <v>5</v>
      </c>
      <c r="M147" s="42" t="s">
        <v>612</v>
      </c>
      <c r="N147" s="61" t="s">
        <v>673</v>
      </c>
      <c r="O147" s="61" t="s">
        <v>677</v>
      </c>
      <c r="P147" s="37"/>
      <c r="Q147" s="37" t="s">
        <v>679</v>
      </c>
      <c r="R147" s="60"/>
    </row>
    <row r="148" spans="1:18" s="7" customFormat="1" ht="69.75" customHeight="1">
      <c r="A148" s="47">
        <v>13</v>
      </c>
      <c r="B148" s="44" t="s">
        <v>638</v>
      </c>
      <c r="C148" s="37" t="s">
        <v>434</v>
      </c>
      <c r="D148" s="31" t="s">
        <v>112</v>
      </c>
      <c r="E148" s="31" t="s">
        <v>650</v>
      </c>
      <c r="F148" s="37" t="s">
        <v>435</v>
      </c>
      <c r="G148" s="34">
        <v>5</v>
      </c>
      <c r="H148" s="34">
        <v>5</v>
      </c>
      <c r="I148" s="34">
        <v>5</v>
      </c>
      <c r="J148" s="35">
        <f>IF(MAX(G148:I148)=0,"",MAX(G148:I148))</f>
        <v>5</v>
      </c>
      <c r="K148" s="35">
        <v>1</v>
      </c>
      <c r="L148" s="34">
        <f>IFERROR(J148*K148,"")</f>
        <v>5</v>
      </c>
      <c r="M148" s="42" t="s">
        <v>571</v>
      </c>
      <c r="N148" s="61" t="s">
        <v>673</v>
      </c>
      <c r="O148" s="61" t="s">
        <v>685</v>
      </c>
      <c r="P148" s="37"/>
      <c r="Q148" s="37" t="s">
        <v>679</v>
      </c>
      <c r="R148" s="60"/>
    </row>
    <row r="149" spans="1:18" s="7" customFormat="1" ht="75">
      <c r="A149" s="48"/>
      <c r="B149" s="45"/>
      <c r="C149" s="38"/>
      <c r="D149" s="31" t="s">
        <v>36</v>
      </c>
      <c r="E149" s="31" t="s">
        <v>67</v>
      </c>
      <c r="F149" s="38" t="str">
        <f>IF($C149&lt;&gt;"",C149,"")</f>
        <v/>
      </c>
      <c r="G149" s="34">
        <v>1</v>
      </c>
      <c r="H149" s="34">
        <v>1</v>
      </c>
      <c r="I149" s="34">
        <v>5</v>
      </c>
      <c r="J149" s="35">
        <f t="shared" ref="J149:J151" si="39">IF(MAX(G149:I149)=0,"",MAX(G149:I149))</f>
        <v>5</v>
      </c>
      <c r="K149" s="35">
        <v>1</v>
      </c>
      <c r="L149" s="34">
        <f t="shared" ref="L149:L151" si="40">IFERROR(J149*K149,"")</f>
        <v>5</v>
      </c>
      <c r="M149" s="42" t="s">
        <v>618</v>
      </c>
      <c r="N149" s="61" t="s">
        <v>673</v>
      </c>
      <c r="O149" s="61" t="s">
        <v>672</v>
      </c>
      <c r="P149" s="37"/>
      <c r="Q149" s="37" t="s">
        <v>679</v>
      </c>
      <c r="R149" s="60"/>
    </row>
    <row r="150" spans="1:18" s="7" customFormat="1" ht="60">
      <c r="A150" s="48"/>
      <c r="B150" s="45"/>
      <c r="C150" s="38"/>
      <c r="D150" s="31" t="s">
        <v>10</v>
      </c>
      <c r="E150" s="31" t="s">
        <v>67</v>
      </c>
      <c r="F150" s="38" t="str">
        <f t="shared" ref="F150:F151" si="41">IF($C150&lt;&gt;"",C150,"")</f>
        <v/>
      </c>
      <c r="G150" s="34">
        <v>1</v>
      </c>
      <c r="H150" s="34">
        <v>1</v>
      </c>
      <c r="I150" s="34">
        <v>5</v>
      </c>
      <c r="J150" s="35">
        <f t="shared" si="39"/>
        <v>5</v>
      </c>
      <c r="K150" s="35">
        <v>1</v>
      </c>
      <c r="L150" s="41">
        <f t="shared" si="40"/>
        <v>5</v>
      </c>
      <c r="M150" s="42" t="s">
        <v>621</v>
      </c>
      <c r="N150" s="61" t="s">
        <v>673</v>
      </c>
      <c r="O150" s="61" t="s">
        <v>677</v>
      </c>
      <c r="P150" s="37"/>
      <c r="Q150" s="37" t="s">
        <v>680</v>
      </c>
      <c r="R150" s="60"/>
    </row>
    <row r="151" spans="1:18" s="7" customFormat="1" ht="60">
      <c r="A151" s="48"/>
      <c r="B151" s="45"/>
      <c r="C151" s="38"/>
      <c r="D151" s="31" t="s">
        <v>50</v>
      </c>
      <c r="E151" s="30" t="s">
        <v>72</v>
      </c>
      <c r="F151" s="38" t="str">
        <f t="shared" si="41"/>
        <v/>
      </c>
      <c r="G151" s="34">
        <v>1</v>
      </c>
      <c r="H151" s="34">
        <v>1</v>
      </c>
      <c r="I151" s="34">
        <v>5</v>
      </c>
      <c r="J151" s="35">
        <f t="shared" si="39"/>
        <v>5</v>
      </c>
      <c r="K151" s="35">
        <v>1</v>
      </c>
      <c r="L151" s="41">
        <f t="shared" si="40"/>
        <v>5</v>
      </c>
      <c r="M151" s="42" t="s">
        <v>612</v>
      </c>
      <c r="N151" s="61" t="s">
        <v>673</v>
      </c>
      <c r="O151" s="61" t="s">
        <v>677</v>
      </c>
      <c r="P151" s="37"/>
      <c r="Q151" s="37" t="s">
        <v>680</v>
      </c>
      <c r="R151" s="60"/>
    </row>
    <row r="152" spans="1:18" s="7" customFormat="1" ht="69.75" customHeight="1">
      <c r="A152" s="47">
        <v>14</v>
      </c>
      <c r="B152" s="44" t="s">
        <v>630</v>
      </c>
      <c r="C152" s="37" t="s">
        <v>434</v>
      </c>
      <c r="D152" s="31" t="s">
        <v>112</v>
      </c>
      <c r="E152" s="31" t="s">
        <v>651</v>
      </c>
      <c r="F152" s="37" t="s">
        <v>435</v>
      </c>
      <c r="G152" s="34">
        <v>1</v>
      </c>
      <c r="H152" s="34">
        <v>5</v>
      </c>
      <c r="I152" s="34">
        <v>5</v>
      </c>
      <c r="J152" s="35">
        <f>IF(MAX(G152:I152)=0,"",MAX(G152:I152))</f>
        <v>5</v>
      </c>
      <c r="K152" s="35">
        <v>1</v>
      </c>
      <c r="L152" s="34">
        <f>IFERROR(J152*K152,"")</f>
        <v>5</v>
      </c>
      <c r="M152" s="42" t="s">
        <v>571</v>
      </c>
      <c r="N152" s="61" t="s">
        <v>673</v>
      </c>
      <c r="O152" s="61" t="s">
        <v>685</v>
      </c>
      <c r="P152" s="37"/>
      <c r="Q152" s="37" t="s">
        <v>679</v>
      </c>
      <c r="R152" s="60"/>
    </row>
    <row r="153" spans="1:18" s="7" customFormat="1" ht="75">
      <c r="A153" s="48"/>
      <c r="B153" s="45"/>
      <c r="C153" s="38"/>
      <c r="D153" s="31" t="s">
        <v>36</v>
      </c>
      <c r="E153" s="31" t="s">
        <v>67</v>
      </c>
      <c r="F153" s="38" t="str">
        <f>IF($C153&lt;&gt;"",C153,"")</f>
        <v/>
      </c>
      <c r="G153" s="34">
        <v>1</v>
      </c>
      <c r="H153" s="34">
        <v>1</v>
      </c>
      <c r="I153" s="34">
        <v>5</v>
      </c>
      <c r="J153" s="35">
        <f t="shared" ref="J153:J155" si="42">IF(MAX(G153:I153)=0,"",MAX(G153:I153))</f>
        <v>5</v>
      </c>
      <c r="K153" s="35">
        <v>1</v>
      </c>
      <c r="L153" s="34">
        <f t="shared" ref="L153:L155" si="43">IFERROR(J153*K153,"")</f>
        <v>5</v>
      </c>
      <c r="M153" s="42" t="s">
        <v>618</v>
      </c>
      <c r="N153" s="61" t="s">
        <v>673</v>
      </c>
      <c r="O153" s="61" t="s">
        <v>672</v>
      </c>
      <c r="P153" s="37"/>
      <c r="Q153" s="37" t="s">
        <v>679</v>
      </c>
      <c r="R153" s="60"/>
    </row>
    <row r="154" spans="1:18" s="7" customFormat="1" ht="60">
      <c r="A154" s="48"/>
      <c r="B154" s="45"/>
      <c r="C154" s="38"/>
      <c r="D154" s="31" t="s">
        <v>10</v>
      </c>
      <c r="E154" s="31" t="s">
        <v>67</v>
      </c>
      <c r="F154" s="38" t="str">
        <f t="shared" ref="F154:F155" si="44">IF($C154&lt;&gt;"",C154,"")</f>
        <v/>
      </c>
      <c r="G154" s="34">
        <v>1</v>
      </c>
      <c r="H154" s="34">
        <v>1</v>
      </c>
      <c r="I154" s="34">
        <v>5</v>
      </c>
      <c r="J154" s="35">
        <f t="shared" si="42"/>
        <v>5</v>
      </c>
      <c r="K154" s="35">
        <v>1</v>
      </c>
      <c r="L154" s="41">
        <f t="shared" si="43"/>
        <v>5</v>
      </c>
      <c r="M154" s="42" t="s">
        <v>621</v>
      </c>
      <c r="N154" s="61" t="s">
        <v>673</v>
      </c>
      <c r="O154" s="61" t="s">
        <v>677</v>
      </c>
      <c r="P154" s="37"/>
      <c r="Q154" s="37" t="s">
        <v>679</v>
      </c>
      <c r="R154" s="60"/>
    </row>
    <row r="155" spans="1:18" s="7" customFormat="1" ht="60">
      <c r="A155" s="48"/>
      <c r="B155" s="45"/>
      <c r="C155" s="38"/>
      <c r="D155" s="31" t="s">
        <v>50</v>
      </c>
      <c r="E155" s="30" t="s">
        <v>72</v>
      </c>
      <c r="F155" s="38" t="str">
        <f t="shared" si="44"/>
        <v/>
      </c>
      <c r="G155" s="34">
        <v>1</v>
      </c>
      <c r="H155" s="34">
        <v>1</v>
      </c>
      <c r="I155" s="34">
        <v>5</v>
      </c>
      <c r="J155" s="35">
        <f t="shared" si="42"/>
        <v>5</v>
      </c>
      <c r="K155" s="35">
        <v>1</v>
      </c>
      <c r="L155" s="41">
        <f t="shared" si="43"/>
        <v>5</v>
      </c>
      <c r="M155" s="42" t="s">
        <v>612</v>
      </c>
      <c r="N155" s="61" t="s">
        <v>673</v>
      </c>
      <c r="O155" s="61" t="s">
        <v>677</v>
      </c>
      <c r="P155" s="37"/>
      <c r="Q155" s="37" t="s">
        <v>679</v>
      </c>
      <c r="R155" s="60"/>
    </row>
    <row r="156" spans="1:18" s="7" customFormat="1" ht="69.75" customHeight="1">
      <c r="A156" s="47">
        <v>15</v>
      </c>
      <c r="B156" s="44" t="s">
        <v>560</v>
      </c>
      <c r="C156" s="37" t="s">
        <v>434</v>
      </c>
      <c r="D156" s="31" t="s">
        <v>112</v>
      </c>
      <c r="E156" s="31" t="s">
        <v>652</v>
      </c>
      <c r="F156" s="37" t="s">
        <v>435</v>
      </c>
      <c r="G156" s="34">
        <v>5</v>
      </c>
      <c r="H156" s="34">
        <v>5</v>
      </c>
      <c r="I156" s="34">
        <v>5</v>
      </c>
      <c r="J156" s="35">
        <f>IF(MAX(G156:I156)=0,"",MAX(G156:I156))</f>
        <v>5</v>
      </c>
      <c r="K156" s="35">
        <v>1</v>
      </c>
      <c r="L156" s="34">
        <f>IFERROR(J156*K156,"")</f>
        <v>5</v>
      </c>
      <c r="M156" s="42" t="s">
        <v>571</v>
      </c>
      <c r="N156" s="61" t="s">
        <v>673</v>
      </c>
      <c r="O156" s="61" t="s">
        <v>685</v>
      </c>
      <c r="P156" s="37"/>
      <c r="Q156" s="37" t="s">
        <v>679</v>
      </c>
      <c r="R156" s="60"/>
    </row>
    <row r="157" spans="1:18" s="7" customFormat="1" ht="75">
      <c r="A157" s="48"/>
      <c r="B157" s="45"/>
      <c r="C157" s="38"/>
      <c r="D157" s="31" t="s">
        <v>36</v>
      </c>
      <c r="E157" s="31" t="s">
        <v>67</v>
      </c>
      <c r="F157" s="38" t="str">
        <f>IF($C157&lt;&gt;"",C157,"")</f>
        <v/>
      </c>
      <c r="G157" s="34">
        <v>1</v>
      </c>
      <c r="H157" s="34">
        <v>1</v>
      </c>
      <c r="I157" s="34">
        <v>5</v>
      </c>
      <c r="J157" s="35">
        <f t="shared" ref="J157:J159" si="45">IF(MAX(G157:I157)=0,"",MAX(G157:I157))</f>
        <v>5</v>
      </c>
      <c r="K157" s="35">
        <v>1</v>
      </c>
      <c r="L157" s="34">
        <f t="shared" ref="L157:L159" si="46">IFERROR(J157*K157,"")</f>
        <v>5</v>
      </c>
      <c r="M157" s="42" t="s">
        <v>618</v>
      </c>
      <c r="N157" s="61" t="s">
        <v>673</v>
      </c>
      <c r="O157" s="61" t="s">
        <v>672</v>
      </c>
      <c r="P157" s="37"/>
      <c r="Q157" s="37" t="s">
        <v>679</v>
      </c>
      <c r="R157" s="60"/>
    </row>
    <row r="158" spans="1:18" s="7" customFormat="1" ht="60">
      <c r="A158" s="48"/>
      <c r="B158" s="45"/>
      <c r="C158" s="38"/>
      <c r="D158" s="31" t="s">
        <v>10</v>
      </c>
      <c r="E158" s="31" t="s">
        <v>67</v>
      </c>
      <c r="F158" s="38" t="str">
        <f t="shared" ref="F158:F159" si="47">IF($C158&lt;&gt;"",C158,"")</f>
        <v/>
      </c>
      <c r="G158" s="34">
        <v>1</v>
      </c>
      <c r="H158" s="34">
        <v>1</v>
      </c>
      <c r="I158" s="34">
        <v>5</v>
      </c>
      <c r="J158" s="35">
        <f t="shared" si="45"/>
        <v>5</v>
      </c>
      <c r="K158" s="35">
        <v>1</v>
      </c>
      <c r="L158" s="41">
        <f t="shared" si="46"/>
        <v>5</v>
      </c>
      <c r="M158" s="42" t="s">
        <v>621</v>
      </c>
      <c r="N158" s="61" t="s">
        <v>673</v>
      </c>
      <c r="O158" s="61" t="s">
        <v>677</v>
      </c>
      <c r="P158" s="37"/>
      <c r="Q158" s="37" t="s">
        <v>679</v>
      </c>
      <c r="R158" s="60"/>
    </row>
    <row r="159" spans="1:18" s="7" customFormat="1" ht="60">
      <c r="A159" s="48"/>
      <c r="B159" s="45"/>
      <c r="C159" s="38"/>
      <c r="D159" s="31" t="s">
        <v>50</v>
      </c>
      <c r="E159" s="30" t="s">
        <v>72</v>
      </c>
      <c r="F159" s="38" t="str">
        <f t="shared" si="47"/>
        <v/>
      </c>
      <c r="G159" s="34">
        <v>1</v>
      </c>
      <c r="H159" s="34">
        <v>1</v>
      </c>
      <c r="I159" s="34">
        <v>5</v>
      </c>
      <c r="J159" s="35">
        <f t="shared" si="45"/>
        <v>5</v>
      </c>
      <c r="K159" s="35">
        <v>1</v>
      </c>
      <c r="L159" s="41">
        <f t="shared" si="46"/>
        <v>5</v>
      </c>
      <c r="M159" s="42" t="s">
        <v>612</v>
      </c>
      <c r="N159" s="61" t="s">
        <v>673</v>
      </c>
      <c r="O159" s="61" t="s">
        <v>677</v>
      </c>
      <c r="P159" s="37"/>
      <c r="Q159" s="37" t="s">
        <v>679</v>
      </c>
      <c r="R159" s="60"/>
    </row>
    <row r="160" spans="1:18" s="7" customFormat="1" ht="135">
      <c r="A160" s="47">
        <v>16</v>
      </c>
      <c r="B160" s="44" t="s">
        <v>636</v>
      </c>
      <c r="C160" s="37" t="s">
        <v>434</v>
      </c>
      <c r="D160" s="31" t="s">
        <v>112</v>
      </c>
      <c r="E160" s="31" t="s">
        <v>653</v>
      </c>
      <c r="F160" s="37" t="s">
        <v>435</v>
      </c>
      <c r="G160" s="34">
        <v>5</v>
      </c>
      <c r="H160" s="34">
        <v>5</v>
      </c>
      <c r="I160" s="34">
        <v>5</v>
      </c>
      <c r="J160" s="35">
        <f>IF(MAX(G160:I160)=0,"",MAX(G160:I160))</f>
        <v>5</v>
      </c>
      <c r="K160" s="35">
        <v>1</v>
      </c>
      <c r="L160" s="34">
        <f>IFERROR(J160*K160,"")</f>
        <v>5</v>
      </c>
      <c r="M160" s="42" t="s">
        <v>596</v>
      </c>
      <c r="N160" s="61" t="s">
        <v>673</v>
      </c>
      <c r="O160" s="61" t="s">
        <v>685</v>
      </c>
      <c r="P160" s="37"/>
      <c r="Q160" s="37" t="s">
        <v>679</v>
      </c>
      <c r="R160" s="60"/>
    </row>
    <row r="161" spans="1:18" s="7" customFormat="1" ht="75">
      <c r="A161" s="48"/>
      <c r="B161" s="45"/>
      <c r="C161" s="38"/>
      <c r="D161" s="31" t="s">
        <v>25</v>
      </c>
      <c r="E161" s="31" t="s">
        <v>67</v>
      </c>
      <c r="F161" s="38" t="str">
        <f>IF($C161&lt;&gt;"",C161,"")</f>
        <v/>
      </c>
      <c r="G161" s="34">
        <v>1</v>
      </c>
      <c r="H161" s="34">
        <v>1</v>
      </c>
      <c r="I161" s="34">
        <v>5</v>
      </c>
      <c r="J161" s="35">
        <f t="shared" ref="J161:J167" si="48">IF(MAX(G161:I161)=0,"",MAX(G161:I161))</f>
        <v>5</v>
      </c>
      <c r="K161" s="35">
        <v>1</v>
      </c>
      <c r="L161" s="34">
        <f t="shared" ref="L161:L167" si="49">IFERROR(J161*K161,"")</f>
        <v>5</v>
      </c>
      <c r="M161" s="42" t="s">
        <v>594</v>
      </c>
      <c r="N161" s="61" t="s">
        <v>673</v>
      </c>
      <c r="O161" s="61" t="s">
        <v>677</v>
      </c>
      <c r="P161" s="37"/>
      <c r="Q161" s="37" t="s">
        <v>679</v>
      </c>
      <c r="R161" s="60"/>
    </row>
    <row r="162" spans="1:18" s="7" customFormat="1" ht="60">
      <c r="A162" s="48"/>
      <c r="B162" s="45"/>
      <c r="C162" s="38"/>
      <c r="D162" s="31" t="s">
        <v>25</v>
      </c>
      <c r="E162" s="31" t="s">
        <v>69</v>
      </c>
      <c r="F162" s="38" t="str">
        <f>IF($C162&lt;&gt;"",C162,"")</f>
        <v/>
      </c>
      <c r="G162" s="34">
        <v>1</v>
      </c>
      <c r="H162" s="34">
        <v>1</v>
      </c>
      <c r="I162" s="34">
        <v>5</v>
      </c>
      <c r="J162" s="35">
        <f t="shared" si="48"/>
        <v>5</v>
      </c>
      <c r="K162" s="35">
        <v>1</v>
      </c>
      <c r="L162" s="34">
        <f t="shared" si="49"/>
        <v>5</v>
      </c>
      <c r="M162" s="42" t="s">
        <v>590</v>
      </c>
      <c r="N162" s="61" t="s">
        <v>673</v>
      </c>
      <c r="O162" s="61" t="s">
        <v>677</v>
      </c>
      <c r="P162" s="37"/>
      <c r="Q162" s="37" t="s">
        <v>679</v>
      </c>
      <c r="R162" s="60"/>
    </row>
    <row r="163" spans="1:18" s="7" customFormat="1" ht="60">
      <c r="A163" s="48"/>
      <c r="B163" s="45"/>
      <c r="C163" s="38"/>
      <c r="D163" s="31" t="s">
        <v>25</v>
      </c>
      <c r="E163" s="31" t="s">
        <v>81</v>
      </c>
      <c r="F163" s="38"/>
      <c r="G163" s="34">
        <v>1</v>
      </c>
      <c r="H163" s="34">
        <v>1</v>
      </c>
      <c r="I163" s="34">
        <v>5</v>
      </c>
      <c r="J163" s="35">
        <f t="shared" si="48"/>
        <v>5</v>
      </c>
      <c r="K163" s="35">
        <v>1</v>
      </c>
      <c r="L163" s="34">
        <f t="shared" si="49"/>
        <v>5</v>
      </c>
      <c r="M163" s="42" t="s">
        <v>591</v>
      </c>
      <c r="N163" s="61" t="s">
        <v>673</v>
      </c>
      <c r="O163" s="61" t="s">
        <v>677</v>
      </c>
      <c r="P163" s="37"/>
      <c r="Q163" s="37" t="s">
        <v>679</v>
      </c>
      <c r="R163" s="60"/>
    </row>
    <row r="164" spans="1:18" s="7" customFormat="1" ht="60">
      <c r="A164" s="48"/>
      <c r="B164" s="45"/>
      <c r="C164" s="38"/>
      <c r="D164" s="31" t="s">
        <v>25</v>
      </c>
      <c r="E164" s="31" t="s">
        <v>90</v>
      </c>
      <c r="F164" s="38"/>
      <c r="G164" s="34">
        <v>1</v>
      </c>
      <c r="H164" s="34">
        <v>1</v>
      </c>
      <c r="I164" s="34">
        <v>5</v>
      </c>
      <c r="J164" s="35">
        <f t="shared" si="48"/>
        <v>5</v>
      </c>
      <c r="K164" s="35">
        <v>1</v>
      </c>
      <c r="L164" s="34">
        <f t="shared" si="49"/>
        <v>5</v>
      </c>
      <c r="M164" s="42" t="s">
        <v>584</v>
      </c>
      <c r="N164" s="61" t="s">
        <v>673</v>
      </c>
      <c r="O164" s="61" t="s">
        <v>677</v>
      </c>
      <c r="P164" s="37"/>
      <c r="Q164" s="37" t="s">
        <v>679</v>
      </c>
      <c r="R164" s="60"/>
    </row>
    <row r="165" spans="1:18" s="7" customFormat="1" ht="60">
      <c r="A165" s="48"/>
      <c r="B165" s="45"/>
      <c r="C165" s="38"/>
      <c r="D165" s="31" t="s">
        <v>25</v>
      </c>
      <c r="E165" s="31" t="s">
        <v>91</v>
      </c>
      <c r="F165" s="38"/>
      <c r="G165" s="34">
        <v>1</v>
      </c>
      <c r="H165" s="34">
        <v>1</v>
      </c>
      <c r="I165" s="34">
        <v>5</v>
      </c>
      <c r="J165" s="35">
        <f t="shared" si="48"/>
        <v>5</v>
      </c>
      <c r="K165" s="35">
        <v>1</v>
      </c>
      <c r="L165" s="34">
        <f t="shared" si="49"/>
        <v>5</v>
      </c>
      <c r="M165" s="42" t="s">
        <v>585</v>
      </c>
      <c r="N165" s="61" t="s">
        <v>673</v>
      </c>
      <c r="O165" s="61" t="s">
        <v>677</v>
      </c>
      <c r="P165" s="37"/>
      <c r="Q165" s="37" t="s">
        <v>679</v>
      </c>
      <c r="R165" s="60"/>
    </row>
    <row r="166" spans="1:18" s="7" customFormat="1" ht="60">
      <c r="A166" s="48"/>
      <c r="B166" s="45"/>
      <c r="C166" s="38"/>
      <c r="D166" s="31" t="s">
        <v>38</v>
      </c>
      <c r="E166" s="31" t="s">
        <v>68</v>
      </c>
      <c r="F166" s="38" t="str">
        <f t="shared" ref="F166:F167" si="50">IF($C166&lt;&gt;"",C166,"")</f>
        <v/>
      </c>
      <c r="G166" s="34">
        <v>5</v>
      </c>
      <c r="H166" s="34">
        <v>1</v>
      </c>
      <c r="I166" s="34">
        <v>1</v>
      </c>
      <c r="J166" s="35">
        <f t="shared" si="48"/>
        <v>5</v>
      </c>
      <c r="K166" s="35">
        <v>1</v>
      </c>
      <c r="L166" s="41">
        <f t="shared" si="49"/>
        <v>5</v>
      </c>
      <c r="M166" s="42" t="s">
        <v>587</v>
      </c>
      <c r="N166" s="61" t="s">
        <v>673</v>
      </c>
      <c r="O166" s="60" t="s">
        <v>682</v>
      </c>
      <c r="P166" s="37"/>
      <c r="Q166" s="37" t="s">
        <v>679</v>
      </c>
      <c r="R166" s="60"/>
    </row>
    <row r="167" spans="1:18" s="7" customFormat="1" ht="75">
      <c r="A167" s="48"/>
      <c r="B167" s="45"/>
      <c r="C167" s="38"/>
      <c r="D167" s="31" t="s">
        <v>38</v>
      </c>
      <c r="E167" s="31" t="s">
        <v>72</v>
      </c>
      <c r="F167" s="38" t="str">
        <f t="shared" si="50"/>
        <v/>
      </c>
      <c r="G167" s="34">
        <v>5</v>
      </c>
      <c r="H167" s="34">
        <v>5</v>
      </c>
      <c r="I167" s="34">
        <v>5</v>
      </c>
      <c r="J167" s="35">
        <f t="shared" si="48"/>
        <v>5</v>
      </c>
      <c r="K167" s="35">
        <v>1</v>
      </c>
      <c r="L167" s="41">
        <f t="shared" si="49"/>
        <v>5</v>
      </c>
      <c r="M167" s="42" t="s">
        <v>577</v>
      </c>
      <c r="N167" s="61" t="s">
        <v>673</v>
      </c>
      <c r="O167" s="60" t="s">
        <v>683</v>
      </c>
      <c r="P167" s="37"/>
      <c r="Q167" s="37" t="s">
        <v>679</v>
      </c>
      <c r="R167" s="60"/>
    </row>
    <row r="168" spans="1:18" s="7" customFormat="1" ht="69.75" customHeight="1">
      <c r="A168" s="47">
        <v>17</v>
      </c>
      <c r="B168" s="44" t="s">
        <v>637</v>
      </c>
      <c r="C168" s="37" t="s">
        <v>434</v>
      </c>
      <c r="D168" s="31" t="s">
        <v>112</v>
      </c>
      <c r="E168" s="31" t="s">
        <v>654</v>
      </c>
      <c r="F168" s="37" t="s">
        <v>435</v>
      </c>
      <c r="G168" s="34">
        <v>1</v>
      </c>
      <c r="H168" s="34">
        <v>1</v>
      </c>
      <c r="I168" s="34">
        <v>3</v>
      </c>
      <c r="J168" s="35">
        <f>IF(MAX(G168:I168)=0,"",MAX(G168:I168))</f>
        <v>3</v>
      </c>
      <c r="K168" s="35">
        <v>1</v>
      </c>
      <c r="L168" s="34">
        <f>IFERROR(J168*K168,"")</f>
        <v>3</v>
      </c>
      <c r="M168" s="42" t="s">
        <v>571</v>
      </c>
      <c r="N168" s="61" t="s">
        <v>673</v>
      </c>
      <c r="O168" s="61" t="s">
        <v>685</v>
      </c>
      <c r="P168" s="37"/>
      <c r="Q168" s="37" t="s">
        <v>679</v>
      </c>
      <c r="R168" s="60"/>
    </row>
    <row r="169" spans="1:18" s="7" customFormat="1" ht="75">
      <c r="A169" s="48"/>
      <c r="B169" s="45"/>
      <c r="C169" s="38"/>
      <c r="D169" s="31" t="s">
        <v>36</v>
      </c>
      <c r="E169" s="31" t="s">
        <v>67</v>
      </c>
      <c r="F169" s="38" t="str">
        <f>IF($C169&lt;&gt;"",C169,"")</f>
        <v/>
      </c>
      <c r="G169" s="34">
        <v>1</v>
      </c>
      <c r="H169" s="34">
        <v>1</v>
      </c>
      <c r="I169" s="34">
        <v>3</v>
      </c>
      <c r="J169" s="35">
        <f t="shared" ref="J169:J171" si="51">IF(MAX(G169:I169)=0,"",MAX(G169:I169))</f>
        <v>3</v>
      </c>
      <c r="K169" s="35">
        <v>1</v>
      </c>
      <c r="L169" s="34">
        <f t="shared" ref="L169:L171" si="52">IFERROR(J169*K169,"")</f>
        <v>3</v>
      </c>
      <c r="M169" s="42" t="s">
        <v>618</v>
      </c>
      <c r="N169" s="61" t="s">
        <v>673</v>
      </c>
      <c r="O169" s="61" t="s">
        <v>672</v>
      </c>
      <c r="P169" s="37"/>
      <c r="Q169" s="37" t="s">
        <v>679</v>
      </c>
      <c r="R169" s="60"/>
    </row>
    <row r="170" spans="1:18" s="7" customFormat="1" ht="60">
      <c r="A170" s="48"/>
      <c r="B170" s="45"/>
      <c r="C170" s="38"/>
      <c r="D170" s="31" t="s">
        <v>10</v>
      </c>
      <c r="E170" s="31" t="s">
        <v>67</v>
      </c>
      <c r="F170" s="38" t="str">
        <f t="shared" ref="F170:F171" si="53">IF($C170&lt;&gt;"",C170,"")</f>
        <v/>
      </c>
      <c r="G170" s="34">
        <v>1</v>
      </c>
      <c r="H170" s="34">
        <v>1</v>
      </c>
      <c r="I170" s="34">
        <v>3</v>
      </c>
      <c r="J170" s="35">
        <f t="shared" si="51"/>
        <v>3</v>
      </c>
      <c r="K170" s="35">
        <v>1</v>
      </c>
      <c r="L170" s="41">
        <f t="shared" si="52"/>
        <v>3</v>
      </c>
      <c r="M170" s="42" t="s">
        <v>621</v>
      </c>
      <c r="N170" s="61" t="s">
        <v>673</v>
      </c>
      <c r="O170" s="61" t="s">
        <v>677</v>
      </c>
      <c r="P170" s="37"/>
      <c r="Q170" s="37" t="s">
        <v>679</v>
      </c>
      <c r="R170" s="60"/>
    </row>
    <row r="171" spans="1:18" s="7" customFormat="1" ht="60">
      <c r="A171" s="48"/>
      <c r="B171" s="45"/>
      <c r="C171" s="38"/>
      <c r="D171" s="31" t="s">
        <v>50</v>
      </c>
      <c r="E171" s="30" t="s">
        <v>72</v>
      </c>
      <c r="F171" s="38" t="str">
        <f t="shared" si="53"/>
        <v/>
      </c>
      <c r="G171" s="34">
        <v>1</v>
      </c>
      <c r="H171" s="34">
        <v>1</v>
      </c>
      <c r="I171" s="34">
        <v>3</v>
      </c>
      <c r="J171" s="35">
        <f t="shared" si="51"/>
        <v>3</v>
      </c>
      <c r="K171" s="35">
        <v>1</v>
      </c>
      <c r="L171" s="41">
        <f t="shared" si="52"/>
        <v>3</v>
      </c>
      <c r="M171" s="42" t="s">
        <v>612</v>
      </c>
      <c r="N171" s="61" t="s">
        <v>673</v>
      </c>
      <c r="O171" s="61" t="s">
        <v>683</v>
      </c>
      <c r="P171" s="37"/>
      <c r="Q171" s="37" t="s">
        <v>679</v>
      </c>
      <c r="R171" s="60"/>
    </row>
    <row r="172" spans="1:18" s="7" customFormat="1" ht="69.75" customHeight="1">
      <c r="A172" s="47">
        <v>18</v>
      </c>
      <c r="B172" s="44" t="s">
        <v>633</v>
      </c>
      <c r="C172" s="37" t="s">
        <v>434</v>
      </c>
      <c r="D172" s="31" t="s">
        <v>112</v>
      </c>
      <c r="E172" s="31" t="s">
        <v>655</v>
      </c>
      <c r="F172" s="37" t="s">
        <v>435</v>
      </c>
      <c r="G172" s="34">
        <v>5</v>
      </c>
      <c r="H172" s="34">
        <v>5</v>
      </c>
      <c r="I172" s="34">
        <v>5</v>
      </c>
      <c r="J172" s="35">
        <f>IF(MAX(G172:I172)=0,"",MAX(G172:I172))</f>
        <v>5</v>
      </c>
      <c r="K172" s="35">
        <v>1</v>
      </c>
      <c r="L172" s="34">
        <f>IFERROR(J172*K172,"")</f>
        <v>5</v>
      </c>
      <c r="M172" s="42" t="s">
        <v>571</v>
      </c>
      <c r="N172" s="61" t="s">
        <v>673</v>
      </c>
      <c r="O172" s="61" t="s">
        <v>685</v>
      </c>
      <c r="P172" s="37"/>
      <c r="Q172" s="37" t="s">
        <v>679</v>
      </c>
      <c r="R172" s="60"/>
    </row>
    <row r="173" spans="1:18" s="7" customFormat="1" ht="75">
      <c r="A173" s="48"/>
      <c r="B173" s="45"/>
      <c r="C173" s="38"/>
      <c r="D173" s="31" t="s">
        <v>36</v>
      </c>
      <c r="E173" s="31" t="s">
        <v>67</v>
      </c>
      <c r="F173" s="38" t="str">
        <f>IF($C173&lt;&gt;"",C173,"")</f>
        <v/>
      </c>
      <c r="G173" s="34">
        <v>1</v>
      </c>
      <c r="H173" s="34">
        <v>1</v>
      </c>
      <c r="I173" s="34">
        <v>3</v>
      </c>
      <c r="J173" s="35">
        <f t="shared" ref="J173:J175" si="54">IF(MAX(G173:I173)=0,"",MAX(G173:I173))</f>
        <v>3</v>
      </c>
      <c r="K173" s="35">
        <v>1</v>
      </c>
      <c r="L173" s="34">
        <f t="shared" ref="L173:L175" si="55">IFERROR(J173*K173,"")</f>
        <v>3</v>
      </c>
      <c r="M173" s="42" t="s">
        <v>618</v>
      </c>
      <c r="N173" s="61" t="s">
        <v>673</v>
      </c>
      <c r="O173" s="61" t="s">
        <v>672</v>
      </c>
      <c r="P173" s="37"/>
      <c r="Q173" s="37" t="s">
        <v>679</v>
      </c>
      <c r="R173" s="60"/>
    </row>
    <row r="174" spans="1:18" s="7" customFormat="1" ht="60">
      <c r="A174" s="48"/>
      <c r="B174" s="45"/>
      <c r="C174" s="38"/>
      <c r="D174" s="31" t="s">
        <v>10</v>
      </c>
      <c r="E174" s="31" t="s">
        <v>67</v>
      </c>
      <c r="F174" s="38" t="str">
        <f t="shared" ref="F174:F175" si="56">IF($C174&lt;&gt;"",C174,"")</f>
        <v/>
      </c>
      <c r="G174" s="34">
        <v>1</v>
      </c>
      <c r="H174" s="34">
        <v>1</v>
      </c>
      <c r="I174" s="34">
        <v>3</v>
      </c>
      <c r="J174" s="35">
        <f t="shared" si="54"/>
        <v>3</v>
      </c>
      <c r="K174" s="35">
        <v>1</v>
      </c>
      <c r="L174" s="41">
        <f t="shared" si="55"/>
        <v>3</v>
      </c>
      <c r="M174" s="42" t="s">
        <v>621</v>
      </c>
      <c r="N174" s="61" t="s">
        <v>673</v>
      </c>
      <c r="O174" s="61" t="s">
        <v>677</v>
      </c>
      <c r="P174" s="37"/>
      <c r="Q174" s="37" t="s">
        <v>679</v>
      </c>
      <c r="R174" s="60"/>
    </row>
    <row r="175" spans="1:18" s="7" customFormat="1" ht="60">
      <c r="A175" s="48"/>
      <c r="B175" s="45"/>
      <c r="C175" s="38"/>
      <c r="D175" s="31" t="s">
        <v>50</v>
      </c>
      <c r="E175" s="30" t="s">
        <v>72</v>
      </c>
      <c r="F175" s="38" t="str">
        <f t="shared" si="56"/>
        <v/>
      </c>
      <c r="G175" s="34">
        <v>1</v>
      </c>
      <c r="H175" s="34">
        <v>1</v>
      </c>
      <c r="I175" s="34">
        <v>3</v>
      </c>
      <c r="J175" s="35">
        <f t="shared" si="54"/>
        <v>3</v>
      </c>
      <c r="K175" s="35">
        <v>1</v>
      </c>
      <c r="L175" s="41">
        <f t="shared" si="55"/>
        <v>3</v>
      </c>
      <c r="M175" s="42" t="s">
        <v>612</v>
      </c>
      <c r="N175" s="61" t="s">
        <v>673</v>
      </c>
      <c r="O175" s="61" t="s">
        <v>683</v>
      </c>
      <c r="P175" s="37"/>
      <c r="Q175" s="37" t="s">
        <v>679</v>
      </c>
      <c r="R175" s="60"/>
    </row>
    <row r="176" spans="1:18" s="7" customFormat="1" ht="69.75" customHeight="1">
      <c r="A176" s="47">
        <v>19</v>
      </c>
      <c r="B176" s="44" t="s">
        <v>635</v>
      </c>
      <c r="C176" s="37" t="s">
        <v>434</v>
      </c>
      <c r="D176" s="31" t="s">
        <v>112</v>
      </c>
      <c r="E176" s="31" t="s">
        <v>655</v>
      </c>
      <c r="F176" s="37" t="s">
        <v>435</v>
      </c>
      <c r="G176" s="34">
        <v>5</v>
      </c>
      <c r="H176" s="34">
        <v>5</v>
      </c>
      <c r="I176" s="34">
        <v>5</v>
      </c>
      <c r="J176" s="35">
        <f>IF(MAX(G176:I176)=0,"",MAX(G176:I176))</f>
        <v>5</v>
      </c>
      <c r="K176" s="35">
        <v>1</v>
      </c>
      <c r="L176" s="34">
        <f>IFERROR(J176*K176,"")</f>
        <v>5</v>
      </c>
      <c r="M176" s="42" t="s">
        <v>571</v>
      </c>
      <c r="N176" s="61" t="s">
        <v>673</v>
      </c>
      <c r="O176" s="61" t="s">
        <v>685</v>
      </c>
      <c r="P176" s="37"/>
      <c r="Q176" s="37" t="s">
        <v>679</v>
      </c>
      <c r="R176" s="60"/>
    </row>
    <row r="177" spans="1:18" s="7" customFormat="1" ht="75">
      <c r="A177" s="48"/>
      <c r="B177" s="45"/>
      <c r="C177" s="38"/>
      <c r="D177" s="31" t="s">
        <v>36</v>
      </c>
      <c r="E177" s="31" t="s">
        <v>67</v>
      </c>
      <c r="F177" s="38" t="str">
        <f>IF($C177&lt;&gt;"",C177,"")</f>
        <v/>
      </c>
      <c r="G177" s="34">
        <v>1</v>
      </c>
      <c r="H177" s="34">
        <v>1</v>
      </c>
      <c r="I177" s="34">
        <v>3</v>
      </c>
      <c r="J177" s="35">
        <f t="shared" ref="J177:J179" si="57">IF(MAX(G177:I177)=0,"",MAX(G177:I177))</f>
        <v>3</v>
      </c>
      <c r="K177" s="35">
        <v>1</v>
      </c>
      <c r="L177" s="34">
        <f t="shared" ref="L177:L179" si="58">IFERROR(J177*K177,"")</f>
        <v>3</v>
      </c>
      <c r="M177" s="42" t="s">
        <v>618</v>
      </c>
      <c r="N177" s="61" t="s">
        <v>673</v>
      </c>
      <c r="O177" s="61" t="s">
        <v>672</v>
      </c>
      <c r="P177" s="37"/>
      <c r="Q177" s="37" t="s">
        <v>679</v>
      </c>
      <c r="R177" s="60"/>
    </row>
    <row r="178" spans="1:18" s="7" customFormat="1" ht="60">
      <c r="A178" s="48"/>
      <c r="B178" s="45"/>
      <c r="C178" s="38"/>
      <c r="D178" s="31" t="s">
        <v>10</v>
      </c>
      <c r="E178" s="31" t="s">
        <v>67</v>
      </c>
      <c r="F178" s="38" t="str">
        <f t="shared" ref="F178:F179" si="59">IF($C178&lt;&gt;"",C178,"")</f>
        <v/>
      </c>
      <c r="G178" s="34">
        <v>1</v>
      </c>
      <c r="H178" s="34">
        <v>1</v>
      </c>
      <c r="I178" s="34">
        <v>3</v>
      </c>
      <c r="J178" s="35">
        <f t="shared" si="57"/>
        <v>3</v>
      </c>
      <c r="K178" s="35">
        <v>1</v>
      </c>
      <c r="L178" s="41">
        <f t="shared" si="58"/>
        <v>3</v>
      </c>
      <c r="M178" s="42" t="s">
        <v>621</v>
      </c>
      <c r="N178" s="61" t="s">
        <v>673</v>
      </c>
      <c r="O178" s="61" t="s">
        <v>677</v>
      </c>
      <c r="P178" s="37"/>
      <c r="Q178" s="37" t="s">
        <v>679</v>
      </c>
      <c r="R178" s="60"/>
    </row>
    <row r="179" spans="1:18" s="7" customFormat="1" ht="60">
      <c r="A179" s="48"/>
      <c r="B179" s="45"/>
      <c r="C179" s="38"/>
      <c r="D179" s="31" t="s">
        <v>50</v>
      </c>
      <c r="E179" s="30" t="s">
        <v>72</v>
      </c>
      <c r="F179" s="38" t="str">
        <f t="shared" si="59"/>
        <v/>
      </c>
      <c r="G179" s="34">
        <v>1</v>
      </c>
      <c r="H179" s="34">
        <v>1</v>
      </c>
      <c r="I179" s="34">
        <v>3</v>
      </c>
      <c r="J179" s="35">
        <f t="shared" si="57"/>
        <v>3</v>
      </c>
      <c r="K179" s="35">
        <v>1</v>
      </c>
      <c r="L179" s="41">
        <f t="shared" si="58"/>
        <v>3</v>
      </c>
      <c r="M179" s="42" t="s">
        <v>612</v>
      </c>
      <c r="N179" s="61" t="s">
        <v>673</v>
      </c>
      <c r="O179" s="61" t="s">
        <v>683</v>
      </c>
      <c r="P179" s="37"/>
      <c r="Q179" s="37" t="s">
        <v>679</v>
      </c>
      <c r="R179" s="60"/>
    </row>
    <row r="180" spans="1:18" s="7" customFormat="1" ht="69.75" customHeight="1">
      <c r="A180" s="47">
        <v>20</v>
      </c>
      <c r="B180" s="44" t="s">
        <v>646</v>
      </c>
      <c r="C180" s="37" t="s">
        <v>434</v>
      </c>
      <c r="D180" s="31" t="s">
        <v>112</v>
      </c>
      <c r="E180" s="31" t="s">
        <v>655</v>
      </c>
      <c r="F180" s="37" t="s">
        <v>435</v>
      </c>
      <c r="G180" s="34">
        <v>5</v>
      </c>
      <c r="H180" s="34">
        <v>5</v>
      </c>
      <c r="I180" s="34">
        <v>5</v>
      </c>
      <c r="J180" s="35">
        <f>IF(MAX(G180:I180)=0,"",MAX(G180:I180))</f>
        <v>5</v>
      </c>
      <c r="K180" s="35">
        <v>1</v>
      </c>
      <c r="L180" s="34">
        <f>IFERROR(J180*K180,"")</f>
        <v>5</v>
      </c>
      <c r="M180" s="42" t="s">
        <v>571</v>
      </c>
      <c r="N180" s="61" t="s">
        <v>673</v>
      </c>
      <c r="O180" s="61" t="s">
        <v>685</v>
      </c>
      <c r="P180" s="37"/>
      <c r="Q180" s="37" t="s">
        <v>679</v>
      </c>
      <c r="R180" s="60"/>
    </row>
    <row r="181" spans="1:18" s="7" customFormat="1" ht="75">
      <c r="A181" s="48"/>
      <c r="B181" s="45"/>
      <c r="C181" s="38"/>
      <c r="D181" s="31" t="s">
        <v>36</v>
      </c>
      <c r="E181" s="31" t="s">
        <v>67</v>
      </c>
      <c r="F181" s="38" t="str">
        <f>IF($C181&lt;&gt;"",C181,"")</f>
        <v/>
      </c>
      <c r="G181" s="34">
        <v>1</v>
      </c>
      <c r="H181" s="34">
        <v>1</v>
      </c>
      <c r="I181" s="34">
        <v>3</v>
      </c>
      <c r="J181" s="35">
        <f t="shared" ref="J181:J183" si="60">IF(MAX(G181:I181)=0,"",MAX(G181:I181))</f>
        <v>3</v>
      </c>
      <c r="K181" s="35">
        <v>1</v>
      </c>
      <c r="L181" s="34">
        <f t="shared" ref="L181:L183" si="61">IFERROR(J181*K181,"")</f>
        <v>3</v>
      </c>
      <c r="M181" s="42" t="s">
        <v>618</v>
      </c>
      <c r="N181" s="61" t="s">
        <v>673</v>
      </c>
      <c r="O181" s="61" t="s">
        <v>672</v>
      </c>
      <c r="P181" s="37"/>
      <c r="Q181" s="37" t="s">
        <v>679</v>
      </c>
      <c r="R181" s="60"/>
    </row>
    <row r="182" spans="1:18" s="7" customFormat="1" ht="60">
      <c r="A182" s="48"/>
      <c r="B182" s="45"/>
      <c r="C182" s="38"/>
      <c r="D182" s="31" t="s">
        <v>10</v>
      </c>
      <c r="E182" s="31" t="s">
        <v>67</v>
      </c>
      <c r="F182" s="38" t="str">
        <f t="shared" ref="F182:F183" si="62">IF($C182&lt;&gt;"",C182,"")</f>
        <v/>
      </c>
      <c r="G182" s="34">
        <v>1</v>
      </c>
      <c r="H182" s="34">
        <v>1</v>
      </c>
      <c r="I182" s="34">
        <v>3</v>
      </c>
      <c r="J182" s="35">
        <f t="shared" si="60"/>
        <v>3</v>
      </c>
      <c r="K182" s="35">
        <v>1</v>
      </c>
      <c r="L182" s="41">
        <f t="shared" si="61"/>
        <v>3</v>
      </c>
      <c r="M182" s="42" t="s">
        <v>621</v>
      </c>
      <c r="N182" s="61" t="s">
        <v>673</v>
      </c>
      <c r="O182" s="61" t="s">
        <v>677</v>
      </c>
      <c r="P182" s="37"/>
      <c r="Q182" s="37" t="s">
        <v>679</v>
      </c>
      <c r="R182" s="60"/>
    </row>
    <row r="183" spans="1:18" s="7" customFormat="1" ht="60">
      <c r="A183" s="48"/>
      <c r="B183" s="45"/>
      <c r="C183" s="38"/>
      <c r="D183" s="31" t="s">
        <v>50</v>
      </c>
      <c r="E183" s="30" t="s">
        <v>72</v>
      </c>
      <c r="F183" s="38" t="str">
        <f t="shared" si="62"/>
        <v/>
      </c>
      <c r="G183" s="34">
        <v>1</v>
      </c>
      <c r="H183" s="34">
        <v>1</v>
      </c>
      <c r="I183" s="34">
        <v>3</v>
      </c>
      <c r="J183" s="35">
        <f t="shared" si="60"/>
        <v>3</v>
      </c>
      <c r="K183" s="35">
        <v>1</v>
      </c>
      <c r="L183" s="41">
        <f t="shared" si="61"/>
        <v>3</v>
      </c>
      <c r="M183" s="42" t="s">
        <v>612</v>
      </c>
      <c r="N183" s="61" t="s">
        <v>673</v>
      </c>
      <c r="O183" s="61" t="s">
        <v>683</v>
      </c>
      <c r="P183" s="37"/>
      <c r="Q183" s="37" t="s">
        <v>679</v>
      </c>
      <c r="R183" s="60"/>
    </row>
    <row r="184" spans="1:18" s="7" customFormat="1" ht="69.75" customHeight="1">
      <c r="A184" s="47">
        <v>21</v>
      </c>
      <c r="B184" s="44" t="s">
        <v>631</v>
      </c>
      <c r="C184" s="37" t="s">
        <v>434</v>
      </c>
      <c r="D184" s="31" t="s">
        <v>112</v>
      </c>
      <c r="E184" s="31" t="s">
        <v>655</v>
      </c>
      <c r="F184" s="37" t="s">
        <v>435</v>
      </c>
      <c r="G184" s="34">
        <v>5</v>
      </c>
      <c r="H184" s="34">
        <v>5</v>
      </c>
      <c r="I184" s="34">
        <v>5</v>
      </c>
      <c r="J184" s="35">
        <f>IF(MAX(G184:I184)=0,"",MAX(G184:I184))</f>
        <v>5</v>
      </c>
      <c r="K184" s="35">
        <v>1</v>
      </c>
      <c r="L184" s="34">
        <f>IFERROR(J184*K184,"")</f>
        <v>5</v>
      </c>
      <c r="M184" s="42" t="s">
        <v>571</v>
      </c>
      <c r="N184" s="61" t="s">
        <v>673</v>
      </c>
      <c r="O184" s="61" t="s">
        <v>685</v>
      </c>
      <c r="P184" s="37"/>
      <c r="Q184" s="37" t="s">
        <v>679</v>
      </c>
      <c r="R184" s="60"/>
    </row>
    <row r="185" spans="1:18" s="7" customFormat="1" ht="75">
      <c r="A185" s="48"/>
      <c r="B185" s="45"/>
      <c r="C185" s="38"/>
      <c r="D185" s="31" t="s">
        <v>36</v>
      </c>
      <c r="E185" s="31" t="s">
        <v>67</v>
      </c>
      <c r="F185" s="38" t="str">
        <f>IF($C185&lt;&gt;"",C185,"")</f>
        <v/>
      </c>
      <c r="G185" s="34">
        <v>1</v>
      </c>
      <c r="H185" s="34">
        <v>1</v>
      </c>
      <c r="I185" s="34">
        <v>3</v>
      </c>
      <c r="J185" s="35">
        <f t="shared" ref="J185:J187" si="63">IF(MAX(G185:I185)=0,"",MAX(G185:I185))</f>
        <v>3</v>
      </c>
      <c r="K185" s="35">
        <v>1</v>
      </c>
      <c r="L185" s="34">
        <f t="shared" ref="L185:L187" si="64">IFERROR(J185*K185,"")</f>
        <v>3</v>
      </c>
      <c r="M185" s="42" t="s">
        <v>618</v>
      </c>
      <c r="N185" s="61" t="s">
        <v>673</v>
      </c>
      <c r="O185" s="61" t="s">
        <v>672</v>
      </c>
      <c r="P185" s="37"/>
      <c r="Q185" s="37" t="s">
        <v>679</v>
      </c>
      <c r="R185" s="60"/>
    </row>
    <row r="186" spans="1:18" s="7" customFormat="1" ht="60">
      <c r="A186" s="48"/>
      <c r="B186" s="45"/>
      <c r="C186" s="38"/>
      <c r="D186" s="31" t="s">
        <v>10</v>
      </c>
      <c r="E186" s="31" t="s">
        <v>67</v>
      </c>
      <c r="F186" s="38" t="str">
        <f t="shared" ref="F186:F187" si="65">IF($C186&lt;&gt;"",C186,"")</f>
        <v/>
      </c>
      <c r="G186" s="34">
        <v>1</v>
      </c>
      <c r="H186" s="34">
        <v>1</v>
      </c>
      <c r="I186" s="34">
        <v>3</v>
      </c>
      <c r="J186" s="35">
        <f t="shared" si="63"/>
        <v>3</v>
      </c>
      <c r="K186" s="35">
        <v>1</v>
      </c>
      <c r="L186" s="41">
        <f t="shared" si="64"/>
        <v>3</v>
      </c>
      <c r="M186" s="42" t="s">
        <v>621</v>
      </c>
      <c r="N186" s="61" t="s">
        <v>673</v>
      </c>
      <c r="O186" s="61" t="s">
        <v>677</v>
      </c>
      <c r="P186" s="37"/>
      <c r="Q186" s="37" t="s">
        <v>679</v>
      </c>
      <c r="R186" s="60"/>
    </row>
    <row r="187" spans="1:18" s="7" customFormat="1" ht="60">
      <c r="A187" s="48"/>
      <c r="B187" s="45"/>
      <c r="C187" s="38"/>
      <c r="D187" s="31" t="s">
        <v>50</v>
      </c>
      <c r="E187" s="30" t="s">
        <v>72</v>
      </c>
      <c r="F187" s="38" t="str">
        <f t="shared" si="65"/>
        <v/>
      </c>
      <c r="G187" s="34">
        <v>1</v>
      </c>
      <c r="H187" s="34">
        <v>1</v>
      </c>
      <c r="I187" s="34">
        <v>3</v>
      </c>
      <c r="J187" s="35">
        <f t="shared" si="63"/>
        <v>3</v>
      </c>
      <c r="K187" s="35">
        <v>1</v>
      </c>
      <c r="L187" s="41">
        <f t="shared" si="64"/>
        <v>3</v>
      </c>
      <c r="M187" s="42" t="s">
        <v>612</v>
      </c>
      <c r="N187" s="61" t="s">
        <v>673</v>
      </c>
      <c r="O187" s="61" t="s">
        <v>683</v>
      </c>
      <c r="P187" s="37"/>
      <c r="Q187" s="37" t="s">
        <v>679</v>
      </c>
      <c r="R187" s="60"/>
    </row>
    <row r="188" spans="1:18" s="7" customFormat="1" ht="69.75" customHeight="1">
      <c r="A188" s="47">
        <v>22</v>
      </c>
      <c r="B188" s="44" t="s">
        <v>628</v>
      </c>
      <c r="C188" s="37" t="s">
        <v>434</v>
      </c>
      <c r="D188" s="31" t="s">
        <v>112</v>
      </c>
      <c r="E188" s="31" t="s">
        <v>656</v>
      </c>
      <c r="F188" s="37" t="s">
        <v>435</v>
      </c>
      <c r="G188" s="34">
        <v>1</v>
      </c>
      <c r="H188" s="34">
        <v>5</v>
      </c>
      <c r="I188" s="34">
        <v>5</v>
      </c>
      <c r="J188" s="35">
        <f>IF(MAX(G188:I188)=0,"",MAX(G188:I188))</f>
        <v>5</v>
      </c>
      <c r="K188" s="35">
        <v>1</v>
      </c>
      <c r="L188" s="34">
        <f>IFERROR(J188*K188,"")</f>
        <v>5</v>
      </c>
      <c r="M188" s="42" t="s">
        <v>571</v>
      </c>
      <c r="N188" s="61" t="s">
        <v>673</v>
      </c>
      <c r="O188" s="61" t="s">
        <v>685</v>
      </c>
      <c r="P188" s="37"/>
      <c r="Q188" s="37" t="s">
        <v>679</v>
      </c>
      <c r="R188" s="60"/>
    </row>
    <row r="189" spans="1:18" s="7" customFormat="1" ht="75">
      <c r="A189" s="48"/>
      <c r="B189" s="45"/>
      <c r="C189" s="38"/>
      <c r="D189" s="31" t="s">
        <v>36</v>
      </c>
      <c r="E189" s="31" t="s">
        <v>67</v>
      </c>
      <c r="F189" s="38" t="str">
        <f>IF($C189&lt;&gt;"",C189,"")</f>
        <v/>
      </c>
      <c r="G189" s="34">
        <v>1</v>
      </c>
      <c r="H189" s="34">
        <v>1</v>
      </c>
      <c r="I189" s="34">
        <v>3</v>
      </c>
      <c r="J189" s="35">
        <f t="shared" ref="J189:J191" si="66">IF(MAX(G189:I189)=0,"",MAX(G189:I189))</f>
        <v>3</v>
      </c>
      <c r="K189" s="35">
        <v>1</v>
      </c>
      <c r="L189" s="34">
        <f t="shared" ref="L189:L191" si="67">IFERROR(J189*K189,"")</f>
        <v>3</v>
      </c>
      <c r="M189" s="42" t="s">
        <v>618</v>
      </c>
      <c r="N189" s="61" t="s">
        <v>673</v>
      </c>
      <c r="O189" s="61" t="s">
        <v>672</v>
      </c>
      <c r="P189" s="37"/>
      <c r="Q189" s="37" t="s">
        <v>679</v>
      </c>
      <c r="R189" s="60"/>
    </row>
    <row r="190" spans="1:18" s="7" customFormat="1" ht="60">
      <c r="A190" s="48"/>
      <c r="B190" s="45"/>
      <c r="C190" s="38"/>
      <c r="D190" s="31" t="s">
        <v>10</v>
      </c>
      <c r="E190" s="31" t="s">
        <v>67</v>
      </c>
      <c r="F190" s="38" t="str">
        <f t="shared" ref="F190:F191" si="68">IF($C190&lt;&gt;"",C190,"")</f>
        <v/>
      </c>
      <c r="G190" s="34">
        <v>1</v>
      </c>
      <c r="H190" s="34">
        <v>1</v>
      </c>
      <c r="I190" s="34">
        <v>3</v>
      </c>
      <c r="J190" s="35">
        <f t="shared" si="66"/>
        <v>3</v>
      </c>
      <c r="K190" s="35">
        <v>1</v>
      </c>
      <c r="L190" s="41">
        <f t="shared" si="67"/>
        <v>3</v>
      </c>
      <c r="M190" s="42" t="s">
        <v>621</v>
      </c>
      <c r="N190" s="61" t="s">
        <v>673</v>
      </c>
      <c r="O190" s="61" t="s">
        <v>677</v>
      </c>
      <c r="P190" s="37"/>
      <c r="Q190" s="37" t="s">
        <v>679</v>
      </c>
      <c r="R190" s="60"/>
    </row>
    <row r="191" spans="1:18" s="7" customFormat="1" ht="60">
      <c r="A191" s="48"/>
      <c r="B191" s="45"/>
      <c r="C191" s="38"/>
      <c r="D191" s="31" t="s">
        <v>50</v>
      </c>
      <c r="E191" s="30" t="s">
        <v>72</v>
      </c>
      <c r="F191" s="38" t="str">
        <f t="shared" si="68"/>
        <v/>
      </c>
      <c r="G191" s="34">
        <v>1</v>
      </c>
      <c r="H191" s="34">
        <v>1</v>
      </c>
      <c r="I191" s="34">
        <v>3</v>
      </c>
      <c r="J191" s="35">
        <f t="shared" si="66"/>
        <v>3</v>
      </c>
      <c r="K191" s="35">
        <v>1</v>
      </c>
      <c r="L191" s="41">
        <f t="shared" si="67"/>
        <v>3</v>
      </c>
      <c r="M191" s="42" t="s">
        <v>612</v>
      </c>
      <c r="N191" s="61" t="s">
        <v>673</v>
      </c>
      <c r="O191" s="61" t="s">
        <v>683</v>
      </c>
      <c r="P191" s="37"/>
      <c r="Q191" s="37" t="s">
        <v>679</v>
      </c>
      <c r="R191" s="60"/>
    </row>
    <row r="192" spans="1:18" s="7" customFormat="1" ht="69.75" customHeight="1">
      <c r="A192" s="47">
        <v>23</v>
      </c>
      <c r="B192" s="44" t="s">
        <v>626</v>
      </c>
      <c r="C192" s="37" t="s">
        <v>434</v>
      </c>
      <c r="D192" s="31" t="s">
        <v>112</v>
      </c>
      <c r="E192" s="31" t="s">
        <v>656</v>
      </c>
      <c r="F192" s="37" t="s">
        <v>435</v>
      </c>
      <c r="G192" s="34">
        <v>1</v>
      </c>
      <c r="H192" s="34">
        <v>5</v>
      </c>
      <c r="I192" s="34">
        <v>5</v>
      </c>
      <c r="J192" s="35">
        <f>IF(MAX(G192:I192)=0,"",MAX(G192:I192))</f>
        <v>5</v>
      </c>
      <c r="K192" s="35">
        <v>1</v>
      </c>
      <c r="L192" s="34">
        <f>IFERROR(J192*K192,"")</f>
        <v>5</v>
      </c>
      <c r="M192" s="42" t="s">
        <v>571</v>
      </c>
      <c r="N192" s="61" t="s">
        <v>673</v>
      </c>
      <c r="O192" s="61" t="s">
        <v>685</v>
      </c>
      <c r="P192" s="37"/>
      <c r="Q192" s="37" t="s">
        <v>679</v>
      </c>
      <c r="R192" s="60"/>
    </row>
    <row r="193" spans="1:18" s="7" customFormat="1" ht="75">
      <c r="A193" s="48"/>
      <c r="B193" s="45"/>
      <c r="C193" s="38"/>
      <c r="D193" s="31" t="s">
        <v>36</v>
      </c>
      <c r="E193" s="31" t="s">
        <v>67</v>
      </c>
      <c r="F193" s="38" t="str">
        <f>IF($C193&lt;&gt;"",C193,"")</f>
        <v/>
      </c>
      <c r="G193" s="34">
        <v>1</v>
      </c>
      <c r="H193" s="34">
        <v>1</v>
      </c>
      <c r="I193" s="34">
        <v>3</v>
      </c>
      <c r="J193" s="35">
        <f t="shared" ref="J193:J195" si="69">IF(MAX(G193:I193)=0,"",MAX(G193:I193))</f>
        <v>3</v>
      </c>
      <c r="K193" s="35">
        <v>1</v>
      </c>
      <c r="L193" s="34">
        <f t="shared" ref="L193:L195" si="70">IFERROR(J193*K193,"")</f>
        <v>3</v>
      </c>
      <c r="M193" s="42" t="s">
        <v>618</v>
      </c>
      <c r="N193" s="61" t="s">
        <v>673</v>
      </c>
      <c r="O193" s="61" t="s">
        <v>672</v>
      </c>
      <c r="P193" s="37"/>
      <c r="Q193" s="37" t="s">
        <v>679</v>
      </c>
      <c r="R193" s="60"/>
    </row>
    <row r="194" spans="1:18" s="7" customFormat="1" ht="60">
      <c r="A194" s="48"/>
      <c r="B194" s="45"/>
      <c r="C194" s="38"/>
      <c r="D194" s="31" t="s">
        <v>10</v>
      </c>
      <c r="E194" s="31" t="s">
        <v>67</v>
      </c>
      <c r="F194" s="38" t="str">
        <f t="shared" ref="F194:F195" si="71">IF($C194&lt;&gt;"",C194,"")</f>
        <v/>
      </c>
      <c r="G194" s="34">
        <v>1</v>
      </c>
      <c r="H194" s="34">
        <v>1</v>
      </c>
      <c r="I194" s="34">
        <v>3</v>
      </c>
      <c r="J194" s="35">
        <f t="shared" si="69"/>
        <v>3</v>
      </c>
      <c r="K194" s="35">
        <v>1</v>
      </c>
      <c r="L194" s="41">
        <f t="shared" si="70"/>
        <v>3</v>
      </c>
      <c r="M194" s="42" t="s">
        <v>621</v>
      </c>
      <c r="N194" s="61" t="s">
        <v>673</v>
      </c>
      <c r="O194" s="61" t="s">
        <v>677</v>
      </c>
      <c r="P194" s="37"/>
      <c r="Q194" s="37" t="s">
        <v>679</v>
      </c>
      <c r="R194" s="60"/>
    </row>
    <row r="195" spans="1:18" s="7" customFormat="1" ht="60">
      <c r="A195" s="48"/>
      <c r="B195" s="45"/>
      <c r="C195" s="38"/>
      <c r="D195" s="31" t="s">
        <v>50</v>
      </c>
      <c r="E195" s="30" t="s">
        <v>72</v>
      </c>
      <c r="F195" s="38" t="str">
        <f t="shared" si="71"/>
        <v/>
      </c>
      <c r="G195" s="34">
        <v>1</v>
      </c>
      <c r="H195" s="34">
        <v>1</v>
      </c>
      <c r="I195" s="34">
        <v>3</v>
      </c>
      <c r="J195" s="35">
        <f t="shared" si="69"/>
        <v>3</v>
      </c>
      <c r="K195" s="35">
        <v>1</v>
      </c>
      <c r="L195" s="41">
        <f t="shared" si="70"/>
        <v>3</v>
      </c>
      <c r="M195" s="42" t="s">
        <v>612</v>
      </c>
      <c r="N195" s="61" t="s">
        <v>673</v>
      </c>
      <c r="O195" s="61" t="s">
        <v>683</v>
      </c>
      <c r="P195" s="37"/>
      <c r="Q195" s="37" t="s">
        <v>679</v>
      </c>
      <c r="R195" s="60"/>
    </row>
    <row r="196" spans="1:18" s="7" customFormat="1" ht="69.75" customHeight="1">
      <c r="A196" s="47">
        <v>24</v>
      </c>
      <c r="B196" s="44" t="s">
        <v>632</v>
      </c>
      <c r="C196" s="37" t="s">
        <v>434</v>
      </c>
      <c r="D196" s="31" t="s">
        <v>112</v>
      </c>
      <c r="E196" s="31" t="s">
        <v>656</v>
      </c>
      <c r="F196" s="37" t="s">
        <v>435</v>
      </c>
      <c r="G196" s="34">
        <v>1</v>
      </c>
      <c r="H196" s="34">
        <v>5</v>
      </c>
      <c r="I196" s="34">
        <v>5</v>
      </c>
      <c r="J196" s="35">
        <f>IF(MAX(G196:I196)=0,"",MAX(G196:I196))</f>
        <v>5</v>
      </c>
      <c r="K196" s="35">
        <v>1</v>
      </c>
      <c r="L196" s="34">
        <f>IFERROR(J196*K196,"")</f>
        <v>5</v>
      </c>
      <c r="M196" s="42" t="s">
        <v>571</v>
      </c>
      <c r="N196" s="61" t="s">
        <v>673</v>
      </c>
      <c r="O196" s="61" t="s">
        <v>685</v>
      </c>
      <c r="P196" s="37"/>
      <c r="Q196" s="37" t="s">
        <v>679</v>
      </c>
      <c r="R196" s="60"/>
    </row>
    <row r="197" spans="1:18" s="7" customFormat="1" ht="75">
      <c r="A197" s="48"/>
      <c r="B197" s="45"/>
      <c r="C197" s="38"/>
      <c r="D197" s="31" t="s">
        <v>36</v>
      </c>
      <c r="E197" s="31" t="s">
        <v>67</v>
      </c>
      <c r="F197" s="38" t="str">
        <f>IF($C197&lt;&gt;"",C197,"")</f>
        <v/>
      </c>
      <c r="G197" s="34">
        <v>1</v>
      </c>
      <c r="H197" s="34">
        <v>1</v>
      </c>
      <c r="I197" s="34">
        <v>3</v>
      </c>
      <c r="J197" s="35">
        <f t="shared" ref="J197:J199" si="72">IF(MAX(G197:I197)=0,"",MAX(G197:I197))</f>
        <v>3</v>
      </c>
      <c r="K197" s="35">
        <v>1</v>
      </c>
      <c r="L197" s="34">
        <f t="shared" ref="L197:L199" si="73">IFERROR(J197*K197,"")</f>
        <v>3</v>
      </c>
      <c r="M197" s="42" t="s">
        <v>618</v>
      </c>
      <c r="N197" s="61" t="s">
        <v>673</v>
      </c>
      <c r="O197" s="61" t="s">
        <v>672</v>
      </c>
      <c r="P197" s="37"/>
      <c r="Q197" s="37" t="s">
        <v>679</v>
      </c>
      <c r="R197" s="60"/>
    </row>
    <row r="198" spans="1:18" s="7" customFormat="1" ht="60">
      <c r="A198" s="48"/>
      <c r="B198" s="45"/>
      <c r="C198" s="38"/>
      <c r="D198" s="31" t="s">
        <v>10</v>
      </c>
      <c r="E198" s="31" t="s">
        <v>67</v>
      </c>
      <c r="F198" s="38" t="str">
        <f t="shared" ref="F198:F199" si="74">IF($C198&lt;&gt;"",C198,"")</f>
        <v/>
      </c>
      <c r="G198" s="34">
        <v>1</v>
      </c>
      <c r="H198" s="34">
        <v>1</v>
      </c>
      <c r="I198" s="34">
        <v>3</v>
      </c>
      <c r="J198" s="35">
        <f t="shared" si="72"/>
        <v>3</v>
      </c>
      <c r="K198" s="35">
        <v>1</v>
      </c>
      <c r="L198" s="41">
        <f t="shared" si="73"/>
        <v>3</v>
      </c>
      <c r="M198" s="42" t="s">
        <v>621</v>
      </c>
      <c r="N198" s="61" t="s">
        <v>673</v>
      </c>
      <c r="O198" s="61" t="s">
        <v>677</v>
      </c>
      <c r="P198" s="37"/>
      <c r="Q198" s="37" t="s">
        <v>679</v>
      </c>
      <c r="R198" s="60"/>
    </row>
    <row r="199" spans="1:18" s="7" customFormat="1" ht="60">
      <c r="A199" s="48"/>
      <c r="B199" s="45"/>
      <c r="C199" s="38"/>
      <c r="D199" s="31" t="s">
        <v>50</v>
      </c>
      <c r="E199" s="30" t="s">
        <v>72</v>
      </c>
      <c r="F199" s="38" t="str">
        <f t="shared" si="74"/>
        <v/>
      </c>
      <c r="G199" s="34">
        <v>1</v>
      </c>
      <c r="H199" s="34">
        <v>1</v>
      </c>
      <c r="I199" s="34">
        <v>3</v>
      </c>
      <c r="J199" s="35">
        <f t="shared" si="72"/>
        <v>3</v>
      </c>
      <c r="K199" s="35">
        <v>1</v>
      </c>
      <c r="L199" s="41">
        <f t="shared" si="73"/>
        <v>3</v>
      </c>
      <c r="M199" s="42" t="s">
        <v>612</v>
      </c>
      <c r="N199" s="61" t="s">
        <v>673</v>
      </c>
      <c r="O199" s="61" t="s">
        <v>683</v>
      </c>
      <c r="P199" s="37"/>
      <c r="Q199" s="37" t="s">
        <v>679</v>
      </c>
      <c r="R199" s="60"/>
    </row>
    <row r="200" spans="1:18" s="7" customFormat="1" ht="69.75" customHeight="1">
      <c r="A200" s="47">
        <v>25</v>
      </c>
      <c r="B200" s="44" t="s">
        <v>629</v>
      </c>
      <c r="C200" s="37" t="s">
        <v>434</v>
      </c>
      <c r="D200" s="31" t="s">
        <v>112</v>
      </c>
      <c r="E200" s="31" t="s">
        <v>657</v>
      </c>
      <c r="F200" s="37" t="s">
        <v>435</v>
      </c>
      <c r="G200" s="34">
        <v>1</v>
      </c>
      <c r="H200" s="34">
        <v>5</v>
      </c>
      <c r="I200" s="34">
        <v>5</v>
      </c>
      <c r="J200" s="35">
        <f>IF(MAX(G200:I200)=0,"",MAX(G200:I200))</f>
        <v>5</v>
      </c>
      <c r="K200" s="35">
        <v>1</v>
      </c>
      <c r="L200" s="34">
        <f>IFERROR(J200*K200,"")</f>
        <v>5</v>
      </c>
      <c r="M200" s="42" t="s">
        <v>571</v>
      </c>
      <c r="N200" s="61" t="s">
        <v>673</v>
      </c>
      <c r="O200" s="61" t="s">
        <v>685</v>
      </c>
      <c r="P200" s="37"/>
      <c r="Q200" s="37" t="s">
        <v>679</v>
      </c>
      <c r="R200" s="60"/>
    </row>
    <row r="201" spans="1:18" s="7" customFormat="1" ht="75">
      <c r="A201" s="48"/>
      <c r="B201" s="45"/>
      <c r="C201" s="38"/>
      <c r="D201" s="31" t="s">
        <v>36</v>
      </c>
      <c r="E201" s="31" t="s">
        <v>67</v>
      </c>
      <c r="F201" s="38" t="str">
        <f>IF($C201&lt;&gt;"",C201,"")</f>
        <v/>
      </c>
      <c r="G201" s="34">
        <v>1</v>
      </c>
      <c r="H201" s="34">
        <v>1</v>
      </c>
      <c r="I201" s="34">
        <v>3</v>
      </c>
      <c r="J201" s="35">
        <f t="shared" ref="J201:J203" si="75">IF(MAX(G201:I201)=0,"",MAX(G201:I201))</f>
        <v>3</v>
      </c>
      <c r="K201" s="35">
        <v>1</v>
      </c>
      <c r="L201" s="34">
        <f t="shared" ref="L201:L203" si="76">IFERROR(J201*K201,"")</f>
        <v>3</v>
      </c>
      <c r="M201" s="42" t="s">
        <v>618</v>
      </c>
      <c r="N201" s="61" t="s">
        <v>673</v>
      </c>
      <c r="O201" s="61" t="s">
        <v>672</v>
      </c>
      <c r="P201" s="37"/>
      <c r="Q201" s="37" t="s">
        <v>679</v>
      </c>
      <c r="R201" s="60"/>
    </row>
    <row r="202" spans="1:18" s="7" customFormat="1" ht="60">
      <c r="A202" s="48"/>
      <c r="B202" s="45"/>
      <c r="C202" s="38"/>
      <c r="D202" s="31" t="s">
        <v>10</v>
      </c>
      <c r="E202" s="31" t="s">
        <v>67</v>
      </c>
      <c r="F202" s="38" t="str">
        <f t="shared" ref="F202:F203" si="77">IF($C202&lt;&gt;"",C202,"")</f>
        <v/>
      </c>
      <c r="G202" s="34">
        <v>1</v>
      </c>
      <c r="H202" s="34">
        <v>1</v>
      </c>
      <c r="I202" s="34">
        <v>3</v>
      </c>
      <c r="J202" s="35">
        <f t="shared" si="75"/>
        <v>3</v>
      </c>
      <c r="K202" s="35">
        <v>1</v>
      </c>
      <c r="L202" s="41">
        <f t="shared" si="76"/>
        <v>3</v>
      </c>
      <c r="M202" s="42" t="s">
        <v>621</v>
      </c>
      <c r="N202" s="61" t="s">
        <v>673</v>
      </c>
      <c r="O202" s="61" t="s">
        <v>677</v>
      </c>
      <c r="P202" s="37"/>
      <c r="Q202" s="37" t="s">
        <v>679</v>
      </c>
      <c r="R202" s="60"/>
    </row>
    <row r="203" spans="1:18" s="7" customFormat="1" ht="60">
      <c r="A203" s="48"/>
      <c r="B203" s="45"/>
      <c r="C203" s="38"/>
      <c r="D203" s="31" t="s">
        <v>50</v>
      </c>
      <c r="E203" s="30" t="s">
        <v>72</v>
      </c>
      <c r="F203" s="38" t="str">
        <f t="shared" si="77"/>
        <v/>
      </c>
      <c r="G203" s="34">
        <v>1</v>
      </c>
      <c r="H203" s="34">
        <v>1</v>
      </c>
      <c r="I203" s="34">
        <v>3</v>
      </c>
      <c r="J203" s="35">
        <f t="shared" si="75"/>
        <v>3</v>
      </c>
      <c r="K203" s="35">
        <v>1</v>
      </c>
      <c r="L203" s="41">
        <f t="shared" si="76"/>
        <v>3</v>
      </c>
      <c r="M203" s="42" t="s">
        <v>612</v>
      </c>
      <c r="N203" s="61" t="s">
        <v>673</v>
      </c>
      <c r="O203" s="61" t="s">
        <v>683</v>
      </c>
      <c r="P203" s="31"/>
      <c r="Q203" s="31" t="s">
        <v>679</v>
      </c>
      <c r="R203" s="60"/>
    </row>
    <row r="204" spans="1:18" s="7" customFormat="1" ht="94.5" customHeight="1">
      <c r="A204" s="47">
        <v>26</v>
      </c>
      <c r="B204" s="44" t="s">
        <v>705</v>
      </c>
      <c r="C204" s="37" t="s">
        <v>592</v>
      </c>
      <c r="D204" s="31" t="s">
        <v>460</v>
      </c>
      <c r="E204" s="31" t="s">
        <v>73</v>
      </c>
      <c r="F204" s="37" t="s">
        <v>592</v>
      </c>
      <c r="G204" s="34">
        <v>4</v>
      </c>
      <c r="H204" s="34">
        <v>2</v>
      </c>
      <c r="I204" s="34">
        <v>5</v>
      </c>
      <c r="J204" s="35">
        <f>IF(MAX(G204:I204)=0,"",MAX(G204:I204))</f>
        <v>5</v>
      </c>
      <c r="K204" s="35">
        <v>1</v>
      </c>
      <c r="L204" s="34">
        <f>IFERROR(J204*K204,"")</f>
        <v>5</v>
      </c>
      <c r="M204" s="42" t="s">
        <v>720</v>
      </c>
      <c r="N204" s="61" t="s">
        <v>673</v>
      </c>
      <c r="O204" s="61" t="s">
        <v>719</v>
      </c>
      <c r="P204" s="37"/>
      <c r="Q204" s="37" t="s">
        <v>679</v>
      </c>
      <c r="R204" s="60"/>
    </row>
    <row r="205" spans="1:18" s="7" customFormat="1" ht="120">
      <c r="A205" s="48"/>
      <c r="B205" s="45"/>
      <c r="C205" s="38"/>
      <c r="D205" s="31" t="s">
        <v>51</v>
      </c>
      <c r="E205" s="31" t="s">
        <v>657</v>
      </c>
      <c r="F205" s="38" t="str">
        <f>IF($C205&lt;&gt;"",C205,"")</f>
        <v/>
      </c>
      <c r="G205" s="34">
        <v>5</v>
      </c>
      <c r="H205" s="34">
        <v>1</v>
      </c>
      <c r="I205" s="34">
        <v>5</v>
      </c>
      <c r="J205" s="35">
        <f t="shared" ref="J205:J207" si="78">IF(MAX(G205:I205)=0,"",MAX(G205:I205))</f>
        <v>5</v>
      </c>
      <c r="K205" s="35">
        <v>1</v>
      </c>
      <c r="L205" s="34">
        <f t="shared" ref="L205:L207" si="79">IFERROR(J205*K205,"")</f>
        <v>5</v>
      </c>
      <c r="M205" s="42" t="s">
        <v>721</v>
      </c>
      <c r="N205" s="61" t="s">
        <v>673</v>
      </c>
      <c r="O205" s="61" t="s">
        <v>685</v>
      </c>
      <c r="P205" s="37"/>
      <c r="Q205" s="37" t="s">
        <v>679</v>
      </c>
      <c r="R205" s="60"/>
    </row>
    <row r="206" spans="1:18" s="7" customFormat="1" ht="45">
      <c r="A206" s="48"/>
      <c r="B206" s="45"/>
      <c r="C206" s="38"/>
      <c r="D206" s="31" t="s">
        <v>26</v>
      </c>
      <c r="E206" s="31" t="s">
        <v>73</v>
      </c>
      <c r="F206" s="38" t="str">
        <f t="shared" ref="F206:F207" si="80">IF($C206&lt;&gt;"",C206,"")</f>
        <v/>
      </c>
      <c r="G206" s="34">
        <v>1</v>
      </c>
      <c r="H206" s="34">
        <v>5</v>
      </c>
      <c r="I206" s="34">
        <v>1</v>
      </c>
      <c r="J206" s="35">
        <f t="shared" si="78"/>
        <v>5</v>
      </c>
      <c r="K206" s="35">
        <v>1</v>
      </c>
      <c r="L206" s="41">
        <f t="shared" si="79"/>
        <v>5</v>
      </c>
      <c r="M206" s="42" t="s">
        <v>722</v>
      </c>
      <c r="N206" s="61" t="s">
        <v>673</v>
      </c>
      <c r="O206" s="61" t="s">
        <v>723</v>
      </c>
      <c r="P206" s="37"/>
      <c r="Q206" s="37" t="s">
        <v>679</v>
      </c>
      <c r="R206" s="60"/>
    </row>
    <row r="207" spans="1:18" s="7" customFormat="1" ht="75">
      <c r="A207" s="49"/>
      <c r="B207" s="46"/>
      <c r="C207" s="39"/>
      <c r="D207" s="31" t="s">
        <v>455</v>
      </c>
      <c r="E207" s="31" t="s">
        <v>73</v>
      </c>
      <c r="F207" s="39" t="str">
        <f t="shared" si="80"/>
        <v/>
      </c>
      <c r="G207" s="34">
        <v>5</v>
      </c>
      <c r="H207" s="34">
        <v>3</v>
      </c>
      <c r="I207" s="34">
        <v>1</v>
      </c>
      <c r="J207" s="35">
        <f t="shared" si="78"/>
        <v>5</v>
      </c>
      <c r="K207" s="35">
        <v>1</v>
      </c>
      <c r="L207" s="41">
        <f t="shared" si="79"/>
        <v>5</v>
      </c>
      <c r="M207" s="42" t="s">
        <v>612</v>
      </c>
      <c r="N207" s="61" t="s">
        <v>673</v>
      </c>
      <c r="O207" s="61" t="s">
        <v>719</v>
      </c>
      <c r="P207" s="31"/>
      <c r="Q207" s="31" t="s">
        <v>679</v>
      </c>
      <c r="R207" s="60"/>
    </row>
    <row r="208" spans="1:18" s="7" customFormat="1" ht="94.5" customHeight="1">
      <c r="A208" s="47">
        <v>27</v>
      </c>
      <c r="B208" s="44" t="s">
        <v>707</v>
      </c>
      <c r="C208" s="37" t="s">
        <v>592</v>
      </c>
      <c r="D208" s="31" t="s">
        <v>460</v>
      </c>
      <c r="E208" s="31" t="s">
        <v>73</v>
      </c>
      <c r="F208" s="37" t="s">
        <v>592</v>
      </c>
      <c r="G208" s="34">
        <v>1</v>
      </c>
      <c r="H208" s="34">
        <v>1</v>
      </c>
      <c r="I208" s="34">
        <v>5</v>
      </c>
      <c r="J208" s="35">
        <f>IF(MAX(G208:I208)=0,"",MAX(G208:I208))</f>
        <v>5</v>
      </c>
      <c r="K208" s="35">
        <v>1</v>
      </c>
      <c r="L208" s="34">
        <f>IFERROR(J208*K208,"")</f>
        <v>5</v>
      </c>
      <c r="M208" s="42" t="s">
        <v>720</v>
      </c>
      <c r="N208" s="61" t="s">
        <v>673</v>
      </c>
      <c r="O208" s="61" t="s">
        <v>719</v>
      </c>
      <c r="P208" s="37"/>
      <c r="Q208" s="37" t="s">
        <v>679</v>
      </c>
      <c r="R208" s="60"/>
    </row>
    <row r="209" spans="1:18" s="7" customFormat="1" ht="120">
      <c r="A209" s="48"/>
      <c r="B209" s="45"/>
      <c r="C209" s="38"/>
      <c r="D209" s="31" t="s">
        <v>47</v>
      </c>
      <c r="E209" s="31" t="s">
        <v>657</v>
      </c>
      <c r="F209" s="38" t="str">
        <f>IF($C209&lt;&gt;"",C209,"")</f>
        <v/>
      </c>
      <c r="G209" s="34">
        <v>5</v>
      </c>
      <c r="H209" s="34">
        <v>1</v>
      </c>
      <c r="I209" s="34">
        <v>1</v>
      </c>
      <c r="J209" s="35">
        <f t="shared" ref="J209:J211" si="81">IF(MAX(G209:I209)=0,"",MAX(G209:I209))</f>
        <v>5</v>
      </c>
      <c r="K209" s="35">
        <v>1</v>
      </c>
      <c r="L209" s="34">
        <f t="shared" ref="L209:L211" si="82">IFERROR(J209*K209,"")</f>
        <v>5</v>
      </c>
      <c r="M209" s="42" t="s">
        <v>721</v>
      </c>
      <c r="N209" s="61" t="s">
        <v>673</v>
      </c>
      <c r="O209" s="61" t="s">
        <v>682</v>
      </c>
      <c r="P209" s="37"/>
      <c r="Q209" s="37" t="s">
        <v>679</v>
      </c>
      <c r="R209" s="60"/>
    </row>
    <row r="210" spans="1:18" s="7" customFormat="1" ht="45">
      <c r="A210" s="48"/>
      <c r="B210" s="45"/>
      <c r="C210" s="38"/>
      <c r="D210" s="31" t="s">
        <v>26</v>
      </c>
      <c r="E210" s="31" t="s">
        <v>73</v>
      </c>
      <c r="F210" s="38" t="str">
        <f t="shared" ref="F210:F211" si="83">IF($C210&lt;&gt;"",C210,"")</f>
        <v/>
      </c>
      <c r="G210" s="34">
        <v>1</v>
      </c>
      <c r="H210" s="34">
        <v>5</v>
      </c>
      <c r="I210" s="34">
        <v>1</v>
      </c>
      <c r="J210" s="35">
        <f t="shared" si="81"/>
        <v>5</v>
      </c>
      <c r="K210" s="35">
        <v>1</v>
      </c>
      <c r="L210" s="41">
        <f t="shared" si="82"/>
        <v>5</v>
      </c>
      <c r="M210" s="42" t="s">
        <v>722</v>
      </c>
      <c r="N210" s="61" t="s">
        <v>673</v>
      </c>
      <c r="O210" s="61" t="s">
        <v>723</v>
      </c>
      <c r="P210" s="37"/>
      <c r="Q210" s="37" t="s">
        <v>679</v>
      </c>
      <c r="R210" s="60"/>
    </row>
    <row r="211" spans="1:18" s="7" customFormat="1" ht="75">
      <c r="A211" s="49"/>
      <c r="B211" s="46"/>
      <c r="C211" s="39"/>
      <c r="D211" s="31" t="s">
        <v>455</v>
      </c>
      <c r="E211" s="31" t="s">
        <v>73</v>
      </c>
      <c r="F211" s="39" t="str">
        <f t="shared" si="83"/>
        <v/>
      </c>
      <c r="G211" s="34">
        <v>5</v>
      </c>
      <c r="H211" s="34">
        <v>3</v>
      </c>
      <c r="I211" s="34">
        <v>1</v>
      </c>
      <c r="J211" s="35">
        <f t="shared" si="81"/>
        <v>5</v>
      </c>
      <c r="K211" s="35">
        <v>1</v>
      </c>
      <c r="L211" s="41">
        <f t="shared" si="82"/>
        <v>5</v>
      </c>
      <c r="M211" s="42" t="s">
        <v>612</v>
      </c>
      <c r="N211" s="61" t="s">
        <v>673</v>
      </c>
      <c r="O211" s="61" t="s">
        <v>682</v>
      </c>
      <c r="P211" s="31"/>
      <c r="Q211" s="31" t="s">
        <v>679</v>
      </c>
      <c r="R211" s="60"/>
    </row>
    <row r="212" spans="1:18" s="7" customFormat="1" ht="94.5" customHeight="1">
      <c r="A212" s="47">
        <v>28</v>
      </c>
      <c r="B212" s="44" t="s">
        <v>709</v>
      </c>
      <c r="C212" s="37" t="s">
        <v>592</v>
      </c>
      <c r="D212" s="31" t="s">
        <v>10</v>
      </c>
      <c r="E212" s="31" t="s">
        <v>73</v>
      </c>
      <c r="F212" s="37" t="s">
        <v>592</v>
      </c>
      <c r="G212" s="34">
        <v>1</v>
      </c>
      <c r="H212" s="34">
        <v>5</v>
      </c>
      <c r="I212" s="34">
        <v>5</v>
      </c>
      <c r="J212" s="35">
        <f>IF(MAX(G212:I212)=0,"",MAX(G212:I212))</f>
        <v>5</v>
      </c>
      <c r="K212" s="35">
        <v>1</v>
      </c>
      <c r="L212" s="34">
        <f>IFERROR(J212*K212,"")</f>
        <v>5</v>
      </c>
      <c r="M212" s="42" t="s">
        <v>720</v>
      </c>
      <c r="N212" s="61" t="s">
        <v>673</v>
      </c>
      <c r="O212" s="61" t="s">
        <v>719</v>
      </c>
      <c r="P212" s="37"/>
      <c r="Q212" s="37" t="s">
        <v>679</v>
      </c>
      <c r="R212" s="60"/>
    </row>
    <row r="213" spans="1:18" s="7" customFormat="1" ht="120">
      <c r="A213" s="48"/>
      <c r="B213" s="45"/>
      <c r="C213" s="38"/>
      <c r="D213" s="31" t="s">
        <v>47</v>
      </c>
      <c r="E213" s="31" t="s">
        <v>657</v>
      </c>
      <c r="F213" s="38" t="str">
        <f>IF($C213&lt;&gt;"",C213,"")</f>
        <v/>
      </c>
      <c r="G213" s="34">
        <v>5</v>
      </c>
      <c r="H213" s="34">
        <v>1</v>
      </c>
      <c r="I213" s="34">
        <v>1</v>
      </c>
      <c r="J213" s="35">
        <f t="shared" ref="J213:J215" si="84">IF(MAX(G213:I213)=0,"",MAX(G213:I213))</f>
        <v>5</v>
      </c>
      <c r="K213" s="35">
        <v>1</v>
      </c>
      <c r="L213" s="34">
        <f t="shared" ref="L213:L215" si="85">IFERROR(J213*K213,"")</f>
        <v>5</v>
      </c>
      <c r="M213" s="42" t="s">
        <v>721</v>
      </c>
      <c r="N213" s="61" t="s">
        <v>673</v>
      </c>
      <c r="O213" s="61" t="s">
        <v>682</v>
      </c>
      <c r="P213" s="37"/>
      <c r="Q213" s="37" t="s">
        <v>679</v>
      </c>
      <c r="R213" s="60"/>
    </row>
    <row r="214" spans="1:18" s="7" customFormat="1" ht="45">
      <c r="A214" s="48"/>
      <c r="B214" s="45"/>
      <c r="C214" s="38"/>
      <c r="D214" s="31" t="s">
        <v>112</v>
      </c>
      <c r="E214" s="31" t="s">
        <v>73</v>
      </c>
      <c r="F214" s="38" t="str">
        <f t="shared" ref="F214:F215" si="86">IF($C214&lt;&gt;"",C214,"")</f>
        <v/>
      </c>
      <c r="G214" s="34">
        <v>1</v>
      </c>
      <c r="H214" s="34">
        <v>5</v>
      </c>
      <c r="I214" s="34">
        <v>1</v>
      </c>
      <c r="J214" s="35">
        <f t="shared" si="84"/>
        <v>5</v>
      </c>
      <c r="K214" s="35">
        <v>1</v>
      </c>
      <c r="L214" s="41">
        <f t="shared" si="85"/>
        <v>5</v>
      </c>
      <c r="M214" s="42" t="s">
        <v>722</v>
      </c>
      <c r="N214" s="61" t="s">
        <v>673</v>
      </c>
      <c r="O214" s="61" t="s">
        <v>682</v>
      </c>
      <c r="P214" s="37"/>
      <c r="Q214" s="37" t="s">
        <v>679</v>
      </c>
      <c r="R214" s="60"/>
    </row>
    <row r="215" spans="1:18" s="7" customFormat="1" ht="75">
      <c r="A215" s="49"/>
      <c r="B215" s="46"/>
      <c r="C215" s="39"/>
      <c r="D215" s="31" t="s">
        <v>455</v>
      </c>
      <c r="E215" s="31" t="s">
        <v>73</v>
      </c>
      <c r="F215" s="39" t="str">
        <f t="shared" si="86"/>
        <v/>
      </c>
      <c r="G215" s="34">
        <v>5</v>
      </c>
      <c r="H215" s="34">
        <v>3</v>
      </c>
      <c r="I215" s="34">
        <v>1</v>
      </c>
      <c r="J215" s="35">
        <f t="shared" si="84"/>
        <v>5</v>
      </c>
      <c r="K215" s="35">
        <v>1</v>
      </c>
      <c r="L215" s="41">
        <f t="shared" si="85"/>
        <v>5</v>
      </c>
      <c r="M215" s="42" t="s">
        <v>612</v>
      </c>
      <c r="N215" s="61" t="s">
        <v>673</v>
      </c>
      <c r="O215" s="61" t="s">
        <v>682</v>
      </c>
      <c r="P215" s="31"/>
      <c r="Q215" s="31" t="s">
        <v>679</v>
      </c>
      <c r="R215" s="60"/>
    </row>
    <row r="216" spans="1:18" s="7" customFormat="1" ht="94.5" customHeight="1">
      <c r="A216" s="47">
        <v>29</v>
      </c>
      <c r="B216" s="44" t="s">
        <v>711</v>
      </c>
      <c r="C216" s="37" t="s">
        <v>434</v>
      </c>
      <c r="D216" s="31" t="s">
        <v>10</v>
      </c>
      <c r="E216" s="31" t="s">
        <v>73</v>
      </c>
      <c r="F216" s="37" t="s">
        <v>434</v>
      </c>
      <c r="G216" s="34">
        <v>1</v>
      </c>
      <c r="H216" s="34">
        <v>5</v>
      </c>
      <c r="I216" s="34">
        <v>5</v>
      </c>
      <c r="J216" s="35">
        <f>IF(MAX(G216:I216)=0,"",MAX(G216:I216))</f>
        <v>5</v>
      </c>
      <c r="K216" s="35">
        <v>1</v>
      </c>
      <c r="L216" s="34">
        <f>IFERROR(J216*K216,"")</f>
        <v>5</v>
      </c>
      <c r="M216" s="42" t="s">
        <v>724</v>
      </c>
      <c r="N216" s="61" t="s">
        <v>673</v>
      </c>
      <c r="O216" s="61" t="s">
        <v>725</v>
      </c>
      <c r="P216" s="37"/>
      <c r="Q216" s="37" t="s">
        <v>679</v>
      </c>
      <c r="R216" s="60"/>
    </row>
    <row r="217" spans="1:18" s="7" customFormat="1" ht="45">
      <c r="A217" s="48"/>
      <c r="B217" s="45"/>
      <c r="C217" s="38"/>
      <c r="D217" s="31" t="s">
        <v>47</v>
      </c>
      <c r="E217" s="31" t="s">
        <v>72</v>
      </c>
      <c r="F217" s="38" t="str">
        <f>IF($C217&lt;&gt;"",C217,"")</f>
        <v/>
      </c>
      <c r="G217" s="34">
        <v>5</v>
      </c>
      <c r="H217" s="34">
        <v>1</v>
      </c>
      <c r="I217" s="34">
        <v>1</v>
      </c>
      <c r="J217" s="35">
        <f t="shared" ref="J217:J219" si="87">IF(MAX(G217:I217)=0,"",MAX(G217:I217))</f>
        <v>5</v>
      </c>
      <c r="K217" s="35">
        <v>1</v>
      </c>
      <c r="L217" s="34">
        <f t="shared" ref="L217:L219" si="88">IFERROR(J217*K217,"")</f>
        <v>5</v>
      </c>
      <c r="M217" s="42" t="s">
        <v>727</v>
      </c>
      <c r="N217" s="61" t="s">
        <v>673</v>
      </c>
      <c r="O217" s="61" t="s">
        <v>682</v>
      </c>
      <c r="P217" s="37"/>
      <c r="Q217" s="37" t="s">
        <v>679</v>
      </c>
      <c r="R217" s="60"/>
    </row>
    <row r="218" spans="1:18" s="7" customFormat="1" ht="45">
      <c r="A218" s="48"/>
      <c r="B218" s="45"/>
      <c r="C218" s="38"/>
      <c r="D218" s="31" t="s">
        <v>112</v>
      </c>
      <c r="E218" s="31" t="s">
        <v>75</v>
      </c>
      <c r="F218" s="38" t="str">
        <f t="shared" ref="F218:F219" si="89">IF($C218&lt;&gt;"",C218,"")</f>
        <v/>
      </c>
      <c r="G218" s="34">
        <v>1</v>
      </c>
      <c r="H218" s="34">
        <v>5</v>
      </c>
      <c r="I218" s="34">
        <v>1</v>
      </c>
      <c r="J218" s="35">
        <f t="shared" si="87"/>
        <v>5</v>
      </c>
      <c r="K218" s="35">
        <v>1</v>
      </c>
      <c r="L218" s="41">
        <f t="shared" si="88"/>
        <v>5</v>
      </c>
      <c r="M218" s="42" t="s">
        <v>727</v>
      </c>
      <c r="N218" s="61" t="s">
        <v>673</v>
      </c>
      <c r="O218" s="61" t="s">
        <v>682</v>
      </c>
      <c r="P218" s="37"/>
      <c r="Q218" s="37" t="s">
        <v>679</v>
      </c>
      <c r="R218" s="60"/>
    </row>
    <row r="219" spans="1:18" s="7" customFormat="1" ht="75">
      <c r="A219" s="49"/>
      <c r="B219" s="46"/>
      <c r="C219" s="39"/>
      <c r="D219" s="31" t="s">
        <v>455</v>
      </c>
      <c r="E219" s="31" t="s">
        <v>72</v>
      </c>
      <c r="F219" s="39" t="str">
        <f t="shared" si="89"/>
        <v/>
      </c>
      <c r="G219" s="34">
        <v>5</v>
      </c>
      <c r="H219" s="34">
        <v>3</v>
      </c>
      <c r="I219" s="34">
        <v>1</v>
      </c>
      <c r="J219" s="35">
        <f t="shared" si="87"/>
        <v>5</v>
      </c>
      <c r="K219" s="35">
        <v>1</v>
      </c>
      <c r="L219" s="41">
        <f t="shared" si="88"/>
        <v>5</v>
      </c>
      <c r="M219" s="42" t="s">
        <v>612</v>
      </c>
      <c r="N219" s="61" t="s">
        <v>673</v>
      </c>
      <c r="O219" s="61" t="s">
        <v>682</v>
      </c>
      <c r="P219" s="31"/>
      <c r="Q219" s="31" t="s">
        <v>679</v>
      </c>
      <c r="R219" s="60"/>
    </row>
    <row r="220" spans="1:18" s="7" customFormat="1" ht="94.5" customHeight="1">
      <c r="A220" s="47">
        <v>30</v>
      </c>
      <c r="B220" s="44" t="s">
        <v>713</v>
      </c>
      <c r="C220" s="37" t="s">
        <v>692</v>
      </c>
      <c r="D220" s="31" t="s">
        <v>11</v>
      </c>
      <c r="E220" s="31" t="s">
        <v>67</v>
      </c>
      <c r="F220" s="37" t="s">
        <v>692</v>
      </c>
      <c r="G220" s="34">
        <v>5</v>
      </c>
      <c r="H220" s="34">
        <v>5</v>
      </c>
      <c r="I220" s="34">
        <v>5</v>
      </c>
      <c r="J220" s="35">
        <f>IF(MAX(G220:I220)=0,"",MAX(G220:I220))</f>
        <v>5</v>
      </c>
      <c r="K220" s="35">
        <v>1</v>
      </c>
      <c r="L220" s="34">
        <f>IFERROR(J220*K220,"")</f>
        <v>5</v>
      </c>
      <c r="M220" s="42" t="s">
        <v>726</v>
      </c>
      <c r="N220" s="61" t="s">
        <v>673</v>
      </c>
      <c r="O220" s="61" t="s">
        <v>677</v>
      </c>
      <c r="P220" s="37"/>
      <c r="Q220" s="37" t="s">
        <v>679</v>
      </c>
      <c r="R220" s="60"/>
    </row>
    <row r="221" spans="1:18" s="7" customFormat="1" ht="60">
      <c r="A221" s="48"/>
      <c r="B221" s="45"/>
      <c r="C221" s="38"/>
      <c r="D221" s="31" t="s">
        <v>49</v>
      </c>
      <c r="E221" s="31" t="s">
        <v>73</v>
      </c>
      <c r="F221" s="38" t="str">
        <f>IF($C221&lt;&gt;"",C221,"")</f>
        <v/>
      </c>
      <c r="G221" s="34">
        <v>5</v>
      </c>
      <c r="H221" s="34">
        <v>1</v>
      </c>
      <c r="I221" s="34">
        <v>1</v>
      </c>
      <c r="J221" s="35">
        <f t="shared" ref="J221:J223" si="90">IF(MAX(G221:I221)=0,"",MAX(G221:I221))</f>
        <v>5</v>
      </c>
      <c r="K221" s="35">
        <v>1</v>
      </c>
      <c r="L221" s="34">
        <f t="shared" ref="L221:L223" si="91">IFERROR(J221*K221,"")</f>
        <v>5</v>
      </c>
      <c r="M221" s="42" t="s">
        <v>728</v>
      </c>
      <c r="N221" s="61" t="s">
        <v>673</v>
      </c>
      <c r="O221" s="61" t="s">
        <v>682</v>
      </c>
      <c r="P221" s="37"/>
      <c r="Q221" s="37" t="s">
        <v>679</v>
      </c>
      <c r="R221" s="60"/>
    </row>
    <row r="222" spans="1:18" s="7" customFormat="1" ht="90">
      <c r="A222" s="48"/>
      <c r="B222" s="45"/>
      <c r="C222" s="38"/>
      <c r="D222" s="31" t="s">
        <v>112</v>
      </c>
      <c r="E222" s="31" t="s">
        <v>75</v>
      </c>
      <c r="F222" s="38" t="str">
        <f t="shared" ref="F222:F223" si="92">IF($C222&lt;&gt;"",C222,"")</f>
        <v/>
      </c>
      <c r="G222" s="34">
        <v>5</v>
      </c>
      <c r="H222" s="34">
        <v>5</v>
      </c>
      <c r="I222" s="34">
        <v>5</v>
      </c>
      <c r="J222" s="35">
        <f t="shared" si="90"/>
        <v>5</v>
      </c>
      <c r="K222" s="35">
        <v>1</v>
      </c>
      <c r="L222" s="41">
        <f t="shared" si="91"/>
        <v>5</v>
      </c>
      <c r="M222" s="42" t="s">
        <v>729</v>
      </c>
      <c r="N222" s="61" t="s">
        <v>673</v>
      </c>
      <c r="O222" s="61" t="s">
        <v>682</v>
      </c>
      <c r="P222" s="37"/>
      <c r="Q222" s="37" t="s">
        <v>679</v>
      </c>
      <c r="R222" s="60"/>
    </row>
    <row r="223" spans="1:18" s="7" customFormat="1" ht="105">
      <c r="A223" s="49"/>
      <c r="B223" s="46"/>
      <c r="C223" s="39"/>
      <c r="D223" s="31" t="s">
        <v>36</v>
      </c>
      <c r="E223" s="31" t="s">
        <v>72</v>
      </c>
      <c r="F223" s="39" t="str">
        <f t="shared" si="92"/>
        <v/>
      </c>
      <c r="G223" s="34">
        <v>5</v>
      </c>
      <c r="H223" s="34">
        <v>3</v>
      </c>
      <c r="I223" s="34">
        <v>1</v>
      </c>
      <c r="J223" s="35">
        <f t="shared" si="90"/>
        <v>5</v>
      </c>
      <c r="K223" s="35">
        <v>1</v>
      </c>
      <c r="L223" s="41">
        <f t="shared" si="91"/>
        <v>5</v>
      </c>
      <c r="M223" s="42" t="s">
        <v>730</v>
      </c>
      <c r="N223" s="61" t="s">
        <v>673</v>
      </c>
      <c r="O223" s="61" t="s">
        <v>677</v>
      </c>
      <c r="P223" s="31"/>
      <c r="Q223" s="31" t="s">
        <v>679</v>
      </c>
      <c r="R223" s="60"/>
    </row>
    <row r="224" spans="1:18" s="7" customFormat="1" ht="94.5" customHeight="1">
      <c r="A224" s="47">
        <v>31</v>
      </c>
      <c r="B224" s="44" t="s">
        <v>714</v>
      </c>
      <c r="C224" s="37" t="s">
        <v>692</v>
      </c>
      <c r="D224" s="31" t="s">
        <v>55</v>
      </c>
      <c r="E224" s="31" t="s">
        <v>73</v>
      </c>
      <c r="F224" s="37" t="s">
        <v>692</v>
      </c>
      <c r="G224" s="34">
        <v>1</v>
      </c>
      <c r="H224" s="34">
        <v>5</v>
      </c>
      <c r="I224" s="34">
        <v>5</v>
      </c>
      <c r="J224" s="35">
        <f>IF(MAX(G224:I224)=0,"",MAX(G224:I224))</f>
        <v>5</v>
      </c>
      <c r="K224" s="35">
        <v>1</v>
      </c>
      <c r="L224" s="34">
        <f>IFERROR(J224*K224,"")</f>
        <v>5</v>
      </c>
      <c r="M224" s="42" t="s">
        <v>731</v>
      </c>
      <c r="N224" s="61" t="s">
        <v>673</v>
      </c>
      <c r="O224" s="61" t="s">
        <v>677</v>
      </c>
      <c r="P224" s="37"/>
      <c r="Q224" s="37" t="s">
        <v>679</v>
      </c>
      <c r="R224" s="60"/>
    </row>
    <row r="225" spans="1:18" s="7" customFormat="1" ht="45">
      <c r="A225" s="48"/>
      <c r="B225" s="45"/>
      <c r="C225" s="38"/>
      <c r="D225" s="31" t="s">
        <v>456</v>
      </c>
      <c r="E225" s="31" t="s">
        <v>75</v>
      </c>
      <c r="F225" s="38" t="str">
        <f>IF($C225&lt;&gt;"",C225,"")</f>
        <v/>
      </c>
      <c r="G225" s="34">
        <v>5</v>
      </c>
      <c r="H225" s="34">
        <v>1</v>
      </c>
      <c r="I225" s="34">
        <v>1</v>
      </c>
      <c r="J225" s="35">
        <f t="shared" ref="J225:J227" si="93">IF(MAX(G225:I225)=0,"",MAX(G225:I225))</f>
        <v>5</v>
      </c>
      <c r="K225" s="35">
        <v>1</v>
      </c>
      <c r="L225" s="34">
        <f t="shared" ref="L225:L227" si="94">IFERROR(J225*K225,"")</f>
        <v>5</v>
      </c>
      <c r="M225" s="42" t="s">
        <v>732</v>
      </c>
      <c r="N225" s="61" t="s">
        <v>673</v>
      </c>
      <c r="O225" s="61" t="s">
        <v>682</v>
      </c>
      <c r="P225" s="37"/>
      <c r="Q225" s="37" t="s">
        <v>679</v>
      </c>
      <c r="R225" s="60"/>
    </row>
    <row r="226" spans="1:18" s="7" customFormat="1" ht="75">
      <c r="A226" s="48"/>
      <c r="B226" s="45"/>
      <c r="C226" s="38"/>
      <c r="D226" s="31" t="s">
        <v>112</v>
      </c>
      <c r="E226" s="31" t="s">
        <v>75</v>
      </c>
      <c r="F226" s="38" t="str">
        <f t="shared" ref="F226:F227" si="95">IF($C226&lt;&gt;"",C226,"")</f>
        <v/>
      </c>
      <c r="G226" s="34">
        <v>5</v>
      </c>
      <c r="H226" s="34">
        <v>5</v>
      </c>
      <c r="I226" s="34">
        <v>5</v>
      </c>
      <c r="J226" s="35">
        <f t="shared" si="93"/>
        <v>5</v>
      </c>
      <c r="K226" s="35">
        <v>1</v>
      </c>
      <c r="L226" s="41">
        <f t="shared" si="94"/>
        <v>5</v>
      </c>
      <c r="M226" s="42" t="s">
        <v>733</v>
      </c>
      <c r="N226" s="61" t="s">
        <v>673</v>
      </c>
      <c r="O226" s="61" t="s">
        <v>682</v>
      </c>
      <c r="P226" s="37"/>
      <c r="Q226" s="37" t="s">
        <v>679</v>
      </c>
      <c r="R226" s="60"/>
    </row>
    <row r="227" spans="1:18" s="7" customFormat="1" ht="60">
      <c r="A227" s="49"/>
      <c r="B227" s="46"/>
      <c r="C227" s="39"/>
      <c r="D227" s="31" t="s">
        <v>48</v>
      </c>
      <c r="E227" s="31" t="s">
        <v>73</v>
      </c>
      <c r="F227" s="39" t="str">
        <f t="shared" si="95"/>
        <v/>
      </c>
      <c r="G227" s="34">
        <v>1</v>
      </c>
      <c r="H227" s="34">
        <v>5</v>
      </c>
      <c r="I227" s="34">
        <v>5</v>
      </c>
      <c r="J227" s="35">
        <f t="shared" si="93"/>
        <v>5</v>
      </c>
      <c r="K227" s="35">
        <v>1</v>
      </c>
      <c r="L227" s="41">
        <f t="shared" si="94"/>
        <v>5</v>
      </c>
      <c r="M227" s="42" t="s">
        <v>734</v>
      </c>
      <c r="N227" s="61" t="s">
        <v>673</v>
      </c>
      <c r="O227" s="61" t="s">
        <v>677</v>
      </c>
      <c r="P227" s="31"/>
      <c r="Q227" s="31" t="s">
        <v>679</v>
      </c>
      <c r="R227" s="60"/>
    </row>
    <row r="228" spans="1:18" s="7" customFormat="1" ht="180">
      <c r="A228" s="47">
        <v>32</v>
      </c>
      <c r="B228" s="44" t="s">
        <v>715</v>
      </c>
      <c r="C228" s="37" t="s">
        <v>434</v>
      </c>
      <c r="D228" s="31" t="s">
        <v>12</v>
      </c>
      <c r="E228" s="31" t="s">
        <v>95</v>
      </c>
      <c r="F228" s="37" t="s">
        <v>434</v>
      </c>
      <c r="G228" s="34">
        <v>1</v>
      </c>
      <c r="H228" s="34">
        <v>1</v>
      </c>
      <c r="I228" s="34">
        <v>5</v>
      </c>
      <c r="J228" s="35">
        <f>IF(MAX(G228:I228)=0,"",MAX(G228:I228))</f>
        <v>5</v>
      </c>
      <c r="K228" s="35">
        <v>1</v>
      </c>
      <c r="L228" s="34">
        <f>IFERROR(J228*K228,"")</f>
        <v>5</v>
      </c>
      <c r="M228" s="42" t="s">
        <v>735</v>
      </c>
      <c r="N228" s="61" t="s">
        <v>673</v>
      </c>
      <c r="O228" s="61" t="s">
        <v>737</v>
      </c>
      <c r="P228" s="37"/>
      <c r="Q228" s="37" t="s">
        <v>679</v>
      </c>
      <c r="R228" s="60"/>
    </row>
    <row r="229" spans="1:18" s="7" customFormat="1" ht="120">
      <c r="A229" s="48"/>
      <c r="B229" s="45"/>
      <c r="C229" s="38"/>
      <c r="D229" s="31" t="s">
        <v>460</v>
      </c>
      <c r="E229" s="31" t="s">
        <v>72</v>
      </c>
      <c r="F229" s="38" t="str">
        <f>IF($C229&lt;&gt;"",C229,"")</f>
        <v/>
      </c>
      <c r="G229" s="34">
        <v>1</v>
      </c>
      <c r="H229" s="34">
        <v>1</v>
      </c>
      <c r="I229" s="34">
        <v>5</v>
      </c>
      <c r="J229" s="35">
        <f t="shared" ref="J229:J230" si="96">IF(MAX(G229:I229)=0,"",MAX(G229:I229))</f>
        <v>5</v>
      </c>
      <c r="K229" s="35">
        <v>1</v>
      </c>
      <c r="L229" s="34">
        <f t="shared" ref="L229:L230" si="97">IFERROR(J229*K229,"")</f>
        <v>5</v>
      </c>
      <c r="M229" s="42" t="s">
        <v>736</v>
      </c>
      <c r="N229" s="61" t="s">
        <v>673</v>
      </c>
      <c r="O229" s="61" t="s">
        <v>737</v>
      </c>
      <c r="P229" s="37"/>
      <c r="Q229" s="37" t="s">
        <v>679</v>
      </c>
      <c r="R229" s="60"/>
    </row>
    <row r="230" spans="1:18" s="7" customFormat="1" ht="120">
      <c r="A230" s="49"/>
      <c r="B230" s="46"/>
      <c r="C230" s="39"/>
      <c r="D230" s="31" t="s">
        <v>18</v>
      </c>
      <c r="E230" s="31" t="s">
        <v>73</v>
      </c>
      <c r="F230" s="39" t="str">
        <f t="shared" ref="F230" si="98">IF($C230&lt;&gt;"",C230,"")</f>
        <v/>
      </c>
      <c r="G230" s="34">
        <v>1</v>
      </c>
      <c r="H230" s="34">
        <v>1</v>
      </c>
      <c r="I230" s="34">
        <v>5</v>
      </c>
      <c r="J230" s="35">
        <f t="shared" si="96"/>
        <v>5</v>
      </c>
      <c r="K230" s="35">
        <v>1</v>
      </c>
      <c r="L230" s="41">
        <f t="shared" si="97"/>
        <v>5</v>
      </c>
      <c r="M230" s="42" t="s">
        <v>736</v>
      </c>
      <c r="N230" s="61" t="s">
        <v>673</v>
      </c>
      <c r="O230" s="61" t="s">
        <v>737</v>
      </c>
      <c r="P230" s="31"/>
      <c r="Q230" s="31" t="s">
        <v>679</v>
      </c>
      <c r="R230" s="60"/>
    </row>
    <row r="231" spans="1:18" s="7" customFormat="1" ht="94.5" customHeight="1">
      <c r="A231" s="47">
        <v>33</v>
      </c>
      <c r="B231" s="44" t="s">
        <v>717</v>
      </c>
      <c r="C231" s="37" t="s">
        <v>692</v>
      </c>
      <c r="D231" s="31" t="s">
        <v>34</v>
      </c>
      <c r="E231" s="31" t="s">
        <v>72</v>
      </c>
      <c r="F231" s="37" t="s">
        <v>692</v>
      </c>
      <c r="G231" s="34">
        <v>1</v>
      </c>
      <c r="H231" s="34">
        <v>1</v>
      </c>
      <c r="I231" s="34">
        <v>5</v>
      </c>
      <c r="J231" s="35">
        <f>IF(MAX(G231:I231)=0,"",MAX(G231:I231))</f>
        <v>5</v>
      </c>
      <c r="K231" s="35">
        <v>1</v>
      </c>
      <c r="L231" s="34">
        <f>IFERROR(J231*K231,"")</f>
        <v>5</v>
      </c>
      <c r="M231" s="42" t="s">
        <v>738</v>
      </c>
      <c r="N231" s="61" t="s">
        <v>673</v>
      </c>
      <c r="O231" s="61" t="s">
        <v>737</v>
      </c>
      <c r="P231" s="37"/>
      <c r="Q231" s="37" t="s">
        <v>679</v>
      </c>
      <c r="R231" s="60"/>
    </row>
    <row r="232" spans="1:18" s="7" customFormat="1" ht="75">
      <c r="A232" s="48"/>
      <c r="B232" s="45"/>
      <c r="C232" s="38"/>
      <c r="D232" s="31" t="s">
        <v>14</v>
      </c>
      <c r="E232" s="31" t="s">
        <v>73</v>
      </c>
      <c r="F232" s="38" t="str">
        <f>IF($C232&lt;&gt;"",C232,"")</f>
        <v/>
      </c>
      <c r="G232" s="34">
        <v>1</v>
      </c>
      <c r="H232" s="34">
        <v>1</v>
      </c>
      <c r="I232" s="34">
        <v>5</v>
      </c>
      <c r="J232" s="35">
        <f t="shared" ref="J232:J234" si="99">IF(MAX(G232:I232)=0,"",MAX(G232:I232))</f>
        <v>5</v>
      </c>
      <c r="K232" s="35">
        <v>1</v>
      </c>
      <c r="L232" s="34">
        <f t="shared" ref="L232:L234" si="100">IFERROR(J232*K232,"")</f>
        <v>5</v>
      </c>
      <c r="M232" s="42" t="s">
        <v>738</v>
      </c>
      <c r="N232" s="61" t="s">
        <v>673</v>
      </c>
      <c r="O232" s="61" t="s">
        <v>737</v>
      </c>
      <c r="P232" s="37"/>
      <c r="Q232" s="37" t="s">
        <v>679</v>
      </c>
      <c r="R232" s="60"/>
    </row>
    <row r="233" spans="1:18" s="7" customFormat="1" ht="45">
      <c r="A233" s="48"/>
      <c r="B233" s="45"/>
      <c r="C233" s="38"/>
      <c r="D233" s="31" t="s">
        <v>47</v>
      </c>
      <c r="E233" s="31" t="s">
        <v>75</v>
      </c>
      <c r="F233" s="38" t="str">
        <f t="shared" ref="F233:F234" si="101">IF($C233&lt;&gt;"",C233,"")</f>
        <v/>
      </c>
      <c r="G233" s="34">
        <v>5</v>
      </c>
      <c r="H233" s="34">
        <v>1</v>
      </c>
      <c r="I233" s="34">
        <v>5</v>
      </c>
      <c r="J233" s="35">
        <f t="shared" si="99"/>
        <v>5</v>
      </c>
      <c r="K233" s="35">
        <v>1</v>
      </c>
      <c r="L233" s="41">
        <f t="shared" si="100"/>
        <v>5</v>
      </c>
      <c r="M233" s="42" t="s">
        <v>739</v>
      </c>
      <c r="N233" s="61" t="s">
        <v>673</v>
      </c>
      <c r="O233" s="61" t="s">
        <v>682</v>
      </c>
      <c r="P233" s="37"/>
      <c r="Q233" s="37" t="s">
        <v>679</v>
      </c>
      <c r="R233" s="60"/>
    </row>
    <row r="234" spans="1:18" s="7" customFormat="1" ht="45">
      <c r="A234" s="49"/>
      <c r="B234" s="46"/>
      <c r="C234" s="39"/>
      <c r="D234" s="31" t="s">
        <v>48</v>
      </c>
      <c r="E234" s="31" t="s">
        <v>73</v>
      </c>
      <c r="F234" s="39" t="str">
        <f t="shared" si="101"/>
        <v/>
      </c>
      <c r="G234" s="34">
        <v>5</v>
      </c>
      <c r="H234" s="34">
        <v>1</v>
      </c>
      <c r="I234" s="34">
        <v>5</v>
      </c>
      <c r="J234" s="35">
        <f t="shared" si="99"/>
        <v>5</v>
      </c>
      <c r="K234" s="35">
        <v>1</v>
      </c>
      <c r="L234" s="41">
        <f t="shared" si="100"/>
        <v>5</v>
      </c>
      <c r="M234" s="42" t="s">
        <v>739</v>
      </c>
      <c r="N234" s="61" t="s">
        <v>673</v>
      </c>
      <c r="O234" s="61" t="s">
        <v>682</v>
      </c>
      <c r="P234" s="31"/>
      <c r="Q234" s="31" t="s">
        <v>679</v>
      </c>
      <c r="R234" s="60"/>
    </row>
    <row r="235" spans="1:18" s="7" customFormat="1" ht="179.25" customHeight="1">
      <c r="A235" s="47">
        <v>35</v>
      </c>
      <c r="B235" s="44" t="s">
        <v>781</v>
      </c>
      <c r="C235" s="37" t="s">
        <v>744</v>
      </c>
      <c r="D235" s="31" t="s">
        <v>112</v>
      </c>
      <c r="E235" s="31" t="s">
        <v>790</v>
      </c>
      <c r="F235" s="37" t="s">
        <v>744</v>
      </c>
      <c r="G235" s="34">
        <v>5</v>
      </c>
      <c r="H235" s="34">
        <v>5</v>
      </c>
      <c r="I235" s="34">
        <v>5</v>
      </c>
      <c r="J235" s="35">
        <f>IF(MAX(G235:I235)=0,"",MAX(G235:I235))</f>
        <v>5</v>
      </c>
      <c r="K235" s="35">
        <v>1</v>
      </c>
      <c r="L235" s="34">
        <f>IFERROR(J235*K235,"")</f>
        <v>5</v>
      </c>
      <c r="M235" s="42" t="s">
        <v>783</v>
      </c>
      <c r="N235" s="61" t="s">
        <v>673</v>
      </c>
      <c r="O235" s="61" t="s">
        <v>685</v>
      </c>
      <c r="P235" s="37" t="s">
        <v>748</v>
      </c>
      <c r="Q235" s="37" t="s">
        <v>679</v>
      </c>
      <c r="R235" s="61"/>
    </row>
    <row r="236" spans="1:18" s="7" customFormat="1" ht="60">
      <c r="A236" s="48"/>
      <c r="B236" s="45"/>
      <c r="C236" s="38"/>
      <c r="D236" s="31" t="s">
        <v>25</v>
      </c>
      <c r="E236" s="31" t="s">
        <v>69</v>
      </c>
      <c r="F236" s="38" t="str">
        <f>IF($C236&lt;&gt;"",C236,"")</f>
        <v/>
      </c>
      <c r="G236" s="34">
        <v>1</v>
      </c>
      <c r="H236" s="34">
        <v>1</v>
      </c>
      <c r="I236" s="34">
        <v>5</v>
      </c>
      <c r="J236" s="35">
        <f t="shared" ref="J236:J243" si="102">IF(MAX(G236:I236)=0,"",MAX(G236:I236))</f>
        <v>5</v>
      </c>
      <c r="K236" s="35">
        <v>1</v>
      </c>
      <c r="L236" s="34">
        <f t="shared" ref="L236:L243" si="103">IFERROR(J236*K236,"")</f>
        <v>5</v>
      </c>
      <c r="M236" s="42" t="s">
        <v>784</v>
      </c>
      <c r="N236" s="61" t="s">
        <v>673</v>
      </c>
      <c r="O236" s="61" t="s">
        <v>677</v>
      </c>
      <c r="P236" s="37"/>
      <c r="Q236" s="37" t="s">
        <v>679</v>
      </c>
      <c r="R236" s="61"/>
    </row>
    <row r="237" spans="1:18" s="7" customFormat="1" ht="60">
      <c r="A237" s="48"/>
      <c r="B237" s="45"/>
      <c r="C237" s="38"/>
      <c r="D237" s="31" t="s">
        <v>25</v>
      </c>
      <c r="E237" s="31" t="s">
        <v>81</v>
      </c>
      <c r="F237" s="38"/>
      <c r="G237" s="34">
        <v>1</v>
      </c>
      <c r="H237" s="34">
        <v>1</v>
      </c>
      <c r="I237" s="34">
        <v>5</v>
      </c>
      <c r="J237" s="35">
        <f t="shared" si="102"/>
        <v>5</v>
      </c>
      <c r="K237" s="35">
        <v>1</v>
      </c>
      <c r="L237" s="34">
        <f t="shared" si="103"/>
        <v>5</v>
      </c>
      <c r="M237" s="42" t="s">
        <v>785</v>
      </c>
      <c r="N237" s="61" t="s">
        <v>673</v>
      </c>
      <c r="O237" s="61" t="s">
        <v>677</v>
      </c>
      <c r="P237" s="37"/>
      <c r="Q237" s="37" t="s">
        <v>679</v>
      </c>
      <c r="R237" s="61"/>
    </row>
    <row r="238" spans="1:18" s="7" customFormat="1" ht="60">
      <c r="A238" s="48"/>
      <c r="B238" s="45"/>
      <c r="C238" s="38"/>
      <c r="D238" s="31" t="s">
        <v>25</v>
      </c>
      <c r="E238" s="31" t="s">
        <v>90</v>
      </c>
      <c r="F238" s="38"/>
      <c r="G238" s="34">
        <v>1</v>
      </c>
      <c r="H238" s="34">
        <v>1</v>
      </c>
      <c r="I238" s="34">
        <v>5</v>
      </c>
      <c r="J238" s="35">
        <f t="shared" si="102"/>
        <v>5</v>
      </c>
      <c r="K238" s="35">
        <v>1</v>
      </c>
      <c r="L238" s="34">
        <f t="shared" si="103"/>
        <v>5</v>
      </c>
      <c r="M238" s="42" t="s">
        <v>584</v>
      </c>
      <c r="N238" s="61" t="s">
        <v>673</v>
      </c>
      <c r="O238" s="61" t="s">
        <v>677</v>
      </c>
      <c r="P238" s="37"/>
      <c r="Q238" s="37" t="s">
        <v>679</v>
      </c>
      <c r="R238" s="61"/>
    </row>
    <row r="239" spans="1:18" s="7" customFormat="1" ht="75">
      <c r="A239" s="48"/>
      <c r="B239" s="45"/>
      <c r="C239" s="38"/>
      <c r="D239" s="31" t="s">
        <v>25</v>
      </c>
      <c r="E239" s="31" t="s">
        <v>91</v>
      </c>
      <c r="F239" s="38"/>
      <c r="G239" s="34">
        <v>1</v>
      </c>
      <c r="H239" s="34">
        <v>1</v>
      </c>
      <c r="I239" s="34">
        <v>5</v>
      </c>
      <c r="J239" s="35">
        <f t="shared" si="102"/>
        <v>5</v>
      </c>
      <c r="K239" s="35">
        <v>1</v>
      </c>
      <c r="L239" s="34">
        <f t="shared" si="103"/>
        <v>5</v>
      </c>
      <c r="M239" s="42" t="s">
        <v>791</v>
      </c>
      <c r="N239" s="61" t="s">
        <v>673</v>
      </c>
      <c r="O239" s="61" t="s">
        <v>677</v>
      </c>
      <c r="P239" s="37"/>
      <c r="Q239" s="37" t="s">
        <v>679</v>
      </c>
      <c r="R239" s="61"/>
    </row>
    <row r="240" spans="1:18" s="7" customFormat="1" ht="120">
      <c r="A240" s="48"/>
      <c r="B240" s="45"/>
      <c r="C240" s="38"/>
      <c r="D240" s="31" t="s">
        <v>27</v>
      </c>
      <c r="E240" s="31" t="s">
        <v>80</v>
      </c>
      <c r="F240" s="38" t="str">
        <f t="shared" ref="F240:F242" si="104">IF($C240&lt;&gt;"",C240,"")</f>
        <v/>
      </c>
      <c r="G240" s="34">
        <v>1</v>
      </c>
      <c r="H240" s="34">
        <v>1</v>
      </c>
      <c r="I240" s="34">
        <v>5</v>
      </c>
      <c r="J240" s="35">
        <f t="shared" si="102"/>
        <v>5</v>
      </c>
      <c r="K240" s="35">
        <v>1</v>
      </c>
      <c r="L240" s="34">
        <f t="shared" si="103"/>
        <v>5</v>
      </c>
      <c r="M240" s="42" t="s">
        <v>792</v>
      </c>
      <c r="N240" s="61" t="s">
        <v>676</v>
      </c>
      <c r="O240" s="61" t="s">
        <v>678</v>
      </c>
      <c r="P240" s="37"/>
      <c r="Q240" s="37" t="s">
        <v>680</v>
      </c>
      <c r="R240" s="61"/>
    </row>
    <row r="241" spans="1:18" s="7" customFormat="1" ht="60">
      <c r="A241" s="48"/>
      <c r="B241" s="45"/>
      <c r="C241" s="38"/>
      <c r="D241" s="31" t="s">
        <v>32</v>
      </c>
      <c r="E241" s="31" t="s">
        <v>91</v>
      </c>
      <c r="F241" s="38" t="str">
        <f t="shared" si="104"/>
        <v/>
      </c>
      <c r="G241" s="34">
        <v>1</v>
      </c>
      <c r="H241" s="34">
        <v>1</v>
      </c>
      <c r="I241" s="34">
        <v>5</v>
      </c>
      <c r="J241" s="35">
        <f t="shared" si="102"/>
        <v>5</v>
      </c>
      <c r="K241" s="35">
        <v>1</v>
      </c>
      <c r="L241" s="34">
        <f t="shared" si="103"/>
        <v>5</v>
      </c>
      <c r="M241" s="42" t="s">
        <v>576</v>
      </c>
      <c r="N241" s="61" t="s">
        <v>676</v>
      </c>
      <c r="O241" s="61" t="s">
        <v>678</v>
      </c>
      <c r="P241" s="37"/>
      <c r="Q241" s="37" t="s">
        <v>680</v>
      </c>
      <c r="R241" s="60"/>
    </row>
    <row r="242" spans="1:18" s="7" customFormat="1" ht="75">
      <c r="A242" s="48"/>
      <c r="B242" s="45"/>
      <c r="C242" s="38"/>
      <c r="D242" s="31" t="s">
        <v>38</v>
      </c>
      <c r="E242" s="31" t="s">
        <v>72</v>
      </c>
      <c r="F242" s="38" t="str">
        <f t="shared" si="104"/>
        <v/>
      </c>
      <c r="G242" s="34">
        <v>5</v>
      </c>
      <c r="H242" s="34">
        <v>5</v>
      </c>
      <c r="I242" s="34">
        <v>5</v>
      </c>
      <c r="J242" s="35">
        <f t="shared" si="102"/>
        <v>5</v>
      </c>
      <c r="K242" s="35">
        <v>1</v>
      </c>
      <c r="L242" s="41">
        <f t="shared" si="103"/>
        <v>5</v>
      </c>
      <c r="M242" s="42" t="s">
        <v>577</v>
      </c>
      <c r="N242" s="61" t="s">
        <v>673</v>
      </c>
      <c r="O242" s="61" t="s">
        <v>682</v>
      </c>
      <c r="P242" s="37"/>
      <c r="Q242" s="37" t="s">
        <v>679</v>
      </c>
      <c r="R242" s="61"/>
    </row>
    <row r="243" spans="1:18" s="7" customFormat="1" ht="75">
      <c r="A243" s="48"/>
      <c r="B243" s="45"/>
      <c r="C243" s="38"/>
      <c r="D243" s="37" t="s">
        <v>11</v>
      </c>
      <c r="E243" s="37" t="s">
        <v>67</v>
      </c>
      <c r="F243" s="38"/>
      <c r="G243" s="47">
        <v>1</v>
      </c>
      <c r="H243" s="47">
        <v>1</v>
      </c>
      <c r="I243" s="47">
        <v>5</v>
      </c>
      <c r="J243" s="71">
        <f t="shared" si="102"/>
        <v>5</v>
      </c>
      <c r="K243" s="71">
        <v>1</v>
      </c>
      <c r="L243" s="72">
        <f t="shared" si="103"/>
        <v>5</v>
      </c>
      <c r="M243" s="73" t="s">
        <v>594</v>
      </c>
      <c r="N243" s="74" t="s">
        <v>673</v>
      </c>
      <c r="O243" s="74" t="s">
        <v>672</v>
      </c>
      <c r="P243" s="37"/>
      <c r="Q243" s="37" t="s">
        <v>679</v>
      </c>
      <c r="R243" s="74"/>
    </row>
    <row r="244" spans="1:18" s="7" customFormat="1" ht="179.25" customHeight="1">
      <c r="A244" s="47">
        <v>36</v>
      </c>
      <c r="B244" s="44" t="s">
        <v>769</v>
      </c>
      <c r="C244" s="37" t="s">
        <v>744</v>
      </c>
      <c r="D244" s="31" t="s">
        <v>112</v>
      </c>
      <c r="E244" s="31" t="s">
        <v>790</v>
      </c>
      <c r="F244" s="37" t="s">
        <v>744</v>
      </c>
      <c r="G244" s="34">
        <v>5</v>
      </c>
      <c r="H244" s="34">
        <v>5</v>
      </c>
      <c r="I244" s="34">
        <v>5</v>
      </c>
      <c r="J244" s="35">
        <f>IF(MAX(G244:I244)=0,"",MAX(G244:I244))</f>
        <v>5</v>
      </c>
      <c r="K244" s="35">
        <v>1</v>
      </c>
      <c r="L244" s="34">
        <f>IFERROR(J244*K244,"")</f>
        <v>5</v>
      </c>
      <c r="M244" s="42" t="s">
        <v>783</v>
      </c>
      <c r="N244" s="61" t="s">
        <v>673</v>
      </c>
      <c r="O244" s="61" t="s">
        <v>685</v>
      </c>
      <c r="P244" s="37" t="s">
        <v>748</v>
      </c>
      <c r="Q244" s="37" t="s">
        <v>679</v>
      </c>
      <c r="R244" s="61"/>
    </row>
    <row r="245" spans="1:18" s="7" customFormat="1" ht="60">
      <c r="A245" s="48"/>
      <c r="B245" s="45"/>
      <c r="C245" s="38"/>
      <c r="D245" s="31" t="s">
        <v>25</v>
      </c>
      <c r="E245" s="31" t="s">
        <v>69</v>
      </c>
      <c r="F245" s="38" t="str">
        <f>IF($C245&lt;&gt;"",C245,"")</f>
        <v/>
      </c>
      <c r="G245" s="34">
        <v>1</v>
      </c>
      <c r="H245" s="34">
        <v>1</v>
      </c>
      <c r="I245" s="34">
        <v>5</v>
      </c>
      <c r="J245" s="35">
        <f t="shared" ref="J245:J252" si="105">IF(MAX(G245:I245)=0,"",MAX(G245:I245))</f>
        <v>5</v>
      </c>
      <c r="K245" s="35">
        <v>1</v>
      </c>
      <c r="L245" s="34">
        <f t="shared" ref="L245:L252" si="106">IFERROR(J245*K245,"")</f>
        <v>5</v>
      </c>
      <c r="M245" s="42" t="s">
        <v>784</v>
      </c>
      <c r="N245" s="61" t="s">
        <v>673</v>
      </c>
      <c r="O245" s="61" t="s">
        <v>677</v>
      </c>
      <c r="P245" s="37"/>
      <c r="Q245" s="37" t="s">
        <v>679</v>
      </c>
      <c r="R245" s="61"/>
    </row>
    <row r="246" spans="1:18" s="7" customFormat="1" ht="60">
      <c r="A246" s="48"/>
      <c r="B246" s="45"/>
      <c r="C246" s="38"/>
      <c r="D246" s="31" t="s">
        <v>25</v>
      </c>
      <c r="E246" s="31" t="s">
        <v>81</v>
      </c>
      <c r="F246" s="38"/>
      <c r="G246" s="34">
        <v>1</v>
      </c>
      <c r="H246" s="34">
        <v>1</v>
      </c>
      <c r="I246" s="34">
        <v>5</v>
      </c>
      <c r="J246" s="35">
        <f t="shared" si="105"/>
        <v>5</v>
      </c>
      <c r="K246" s="35">
        <v>1</v>
      </c>
      <c r="L246" s="34">
        <f t="shared" si="106"/>
        <v>5</v>
      </c>
      <c r="M246" s="42" t="s">
        <v>785</v>
      </c>
      <c r="N246" s="61" t="s">
        <v>673</v>
      </c>
      <c r="O246" s="61" t="s">
        <v>677</v>
      </c>
      <c r="P246" s="37"/>
      <c r="Q246" s="37" t="s">
        <v>679</v>
      </c>
      <c r="R246" s="61"/>
    </row>
    <row r="247" spans="1:18" s="7" customFormat="1" ht="60">
      <c r="A247" s="48"/>
      <c r="B247" s="45"/>
      <c r="C247" s="38"/>
      <c r="D247" s="31" t="s">
        <v>25</v>
      </c>
      <c r="E247" s="31" t="s">
        <v>90</v>
      </c>
      <c r="F247" s="38"/>
      <c r="G247" s="34">
        <v>1</v>
      </c>
      <c r="H247" s="34">
        <v>1</v>
      </c>
      <c r="I247" s="34">
        <v>5</v>
      </c>
      <c r="J247" s="35">
        <f t="shared" si="105"/>
        <v>5</v>
      </c>
      <c r="K247" s="35">
        <v>1</v>
      </c>
      <c r="L247" s="34">
        <f t="shared" si="106"/>
        <v>5</v>
      </c>
      <c r="M247" s="42" t="s">
        <v>584</v>
      </c>
      <c r="N247" s="61" t="s">
        <v>673</v>
      </c>
      <c r="O247" s="61" t="s">
        <v>677</v>
      </c>
      <c r="P247" s="37"/>
      <c r="Q247" s="37" t="s">
        <v>679</v>
      </c>
      <c r="R247" s="61"/>
    </row>
    <row r="248" spans="1:18" s="7" customFormat="1" ht="75">
      <c r="A248" s="48"/>
      <c r="B248" s="45"/>
      <c r="C248" s="38"/>
      <c r="D248" s="31" t="s">
        <v>25</v>
      </c>
      <c r="E248" s="31" t="s">
        <v>91</v>
      </c>
      <c r="F248" s="38"/>
      <c r="G248" s="34">
        <v>1</v>
      </c>
      <c r="H248" s="34">
        <v>1</v>
      </c>
      <c r="I248" s="34">
        <v>5</v>
      </c>
      <c r="J248" s="35">
        <f t="shared" si="105"/>
        <v>5</v>
      </c>
      <c r="K248" s="35">
        <v>1</v>
      </c>
      <c r="L248" s="34">
        <f t="shared" si="106"/>
        <v>5</v>
      </c>
      <c r="M248" s="42" t="s">
        <v>791</v>
      </c>
      <c r="N248" s="61" t="s">
        <v>673</v>
      </c>
      <c r="O248" s="61" t="s">
        <v>677</v>
      </c>
      <c r="P248" s="37"/>
      <c r="Q248" s="37" t="s">
        <v>679</v>
      </c>
      <c r="R248" s="61"/>
    </row>
    <row r="249" spans="1:18" s="7" customFormat="1" ht="120">
      <c r="A249" s="48"/>
      <c r="B249" s="45"/>
      <c r="C249" s="38"/>
      <c r="D249" s="31" t="s">
        <v>27</v>
      </c>
      <c r="E249" s="31" t="s">
        <v>80</v>
      </c>
      <c r="F249" s="38" t="str">
        <f t="shared" ref="F249:F251" si="107">IF($C249&lt;&gt;"",C249,"")</f>
        <v/>
      </c>
      <c r="G249" s="34">
        <v>1</v>
      </c>
      <c r="H249" s="34">
        <v>1</v>
      </c>
      <c r="I249" s="34">
        <v>5</v>
      </c>
      <c r="J249" s="35">
        <f t="shared" si="105"/>
        <v>5</v>
      </c>
      <c r="K249" s="35">
        <v>1</v>
      </c>
      <c r="L249" s="34">
        <f t="shared" si="106"/>
        <v>5</v>
      </c>
      <c r="M249" s="42" t="s">
        <v>792</v>
      </c>
      <c r="N249" s="61" t="s">
        <v>676</v>
      </c>
      <c r="O249" s="61" t="s">
        <v>678</v>
      </c>
      <c r="P249" s="37"/>
      <c r="Q249" s="37" t="s">
        <v>680</v>
      </c>
      <c r="R249" s="61"/>
    </row>
    <row r="250" spans="1:18" s="7" customFormat="1" ht="60">
      <c r="A250" s="48"/>
      <c r="B250" s="45"/>
      <c r="C250" s="38"/>
      <c r="D250" s="31" t="s">
        <v>32</v>
      </c>
      <c r="E250" s="31" t="s">
        <v>91</v>
      </c>
      <c r="F250" s="38" t="str">
        <f t="shared" si="107"/>
        <v/>
      </c>
      <c r="G250" s="34">
        <v>1</v>
      </c>
      <c r="H250" s="34">
        <v>1</v>
      </c>
      <c r="I250" s="34">
        <v>5</v>
      </c>
      <c r="J250" s="35">
        <f t="shared" si="105"/>
        <v>5</v>
      </c>
      <c r="K250" s="35">
        <v>1</v>
      </c>
      <c r="L250" s="34">
        <f t="shared" si="106"/>
        <v>5</v>
      </c>
      <c r="M250" s="42" t="s">
        <v>576</v>
      </c>
      <c r="N250" s="61" t="s">
        <v>676</v>
      </c>
      <c r="O250" s="61" t="s">
        <v>678</v>
      </c>
      <c r="P250" s="37"/>
      <c r="Q250" s="37" t="s">
        <v>680</v>
      </c>
      <c r="R250" s="60"/>
    </row>
    <row r="251" spans="1:18" s="7" customFormat="1" ht="75">
      <c r="A251" s="48"/>
      <c r="B251" s="45"/>
      <c r="C251" s="38"/>
      <c r="D251" s="31" t="s">
        <v>38</v>
      </c>
      <c r="E251" s="31" t="s">
        <v>72</v>
      </c>
      <c r="F251" s="38" t="str">
        <f t="shared" si="107"/>
        <v/>
      </c>
      <c r="G251" s="34">
        <v>5</v>
      </c>
      <c r="H251" s="34">
        <v>5</v>
      </c>
      <c r="I251" s="34">
        <v>5</v>
      </c>
      <c r="J251" s="35">
        <f t="shared" si="105"/>
        <v>5</v>
      </c>
      <c r="K251" s="35">
        <v>1</v>
      </c>
      <c r="L251" s="41">
        <f t="shared" si="106"/>
        <v>5</v>
      </c>
      <c r="M251" s="42" t="s">
        <v>577</v>
      </c>
      <c r="N251" s="61" t="s">
        <v>673</v>
      </c>
      <c r="O251" s="61" t="s">
        <v>682</v>
      </c>
      <c r="P251" s="37"/>
      <c r="Q251" s="37" t="s">
        <v>679</v>
      </c>
      <c r="R251" s="61"/>
    </row>
    <row r="252" spans="1:18" s="7" customFormat="1" ht="75">
      <c r="A252" s="49"/>
      <c r="B252" s="46"/>
      <c r="C252" s="39"/>
      <c r="D252" s="31" t="s">
        <v>11</v>
      </c>
      <c r="E252" s="31" t="s">
        <v>67</v>
      </c>
      <c r="F252" s="39"/>
      <c r="G252" s="34">
        <v>1</v>
      </c>
      <c r="H252" s="34">
        <v>1</v>
      </c>
      <c r="I252" s="34">
        <v>5</v>
      </c>
      <c r="J252" s="35">
        <f t="shared" si="105"/>
        <v>5</v>
      </c>
      <c r="K252" s="35">
        <v>1</v>
      </c>
      <c r="L252" s="41">
        <f t="shared" si="106"/>
        <v>5</v>
      </c>
      <c r="M252" s="42" t="s">
        <v>594</v>
      </c>
      <c r="N252" s="61" t="s">
        <v>673</v>
      </c>
      <c r="O252" s="61" t="s">
        <v>672</v>
      </c>
      <c r="P252" s="31"/>
      <c r="Q252" s="31" t="s">
        <v>679</v>
      </c>
      <c r="R252" s="61"/>
    </row>
    <row r="253" spans="1:18" s="7" customFormat="1" ht="69.75" customHeight="1">
      <c r="A253" s="47">
        <v>37</v>
      </c>
      <c r="B253" s="44" t="s">
        <v>764</v>
      </c>
      <c r="C253" s="37" t="s">
        <v>744</v>
      </c>
      <c r="D253" s="31" t="s">
        <v>112</v>
      </c>
      <c r="E253" s="31" t="s">
        <v>600</v>
      </c>
      <c r="F253" s="37" t="s">
        <v>744</v>
      </c>
      <c r="G253" s="34">
        <v>5</v>
      </c>
      <c r="H253" s="34">
        <v>5</v>
      </c>
      <c r="I253" s="34">
        <v>5</v>
      </c>
      <c r="J253" s="35">
        <f>IF(MAX(G253:I253)=0,"",MAX(G253:I253))</f>
        <v>5</v>
      </c>
      <c r="K253" s="35">
        <v>1</v>
      </c>
      <c r="L253" s="34">
        <f>IFERROR(J253*K253,"")</f>
        <v>5</v>
      </c>
      <c r="M253" s="42" t="s">
        <v>571</v>
      </c>
      <c r="N253" s="61" t="s">
        <v>673</v>
      </c>
      <c r="O253" s="61" t="s">
        <v>687</v>
      </c>
      <c r="P253" s="37"/>
      <c r="Q253" s="37" t="s">
        <v>668</v>
      </c>
      <c r="R253" s="62">
        <v>43445</v>
      </c>
    </row>
    <row r="254" spans="1:18" s="7" customFormat="1" ht="60">
      <c r="A254" s="48"/>
      <c r="B254" s="45"/>
      <c r="C254" s="38"/>
      <c r="D254" s="31" t="s">
        <v>36</v>
      </c>
      <c r="E254" s="31" t="s">
        <v>67</v>
      </c>
      <c r="F254" s="38" t="str">
        <f>IF($C254&lt;&gt;"",C254,"")</f>
        <v/>
      </c>
      <c r="G254" s="34">
        <v>1</v>
      </c>
      <c r="H254" s="34">
        <v>1</v>
      </c>
      <c r="I254" s="34">
        <v>5</v>
      </c>
      <c r="J254" s="35">
        <f t="shared" ref="J254:J264" si="108">IF(MAX(G254:I254)=0,"",MAX(G254:I254))</f>
        <v>5</v>
      </c>
      <c r="K254" s="35">
        <v>1</v>
      </c>
      <c r="L254" s="34">
        <f t="shared" ref="L254:L264" si="109">IFERROR(J254*K254,"")</f>
        <v>5</v>
      </c>
      <c r="M254" s="42" t="s">
        <v>809</v>
      </c>
      <c r="N254" s="61" t="s">
        <v>673</v>
      </c>
      <c r="O254" s="60" t="s">
        <v>677</v>
      </c>
      <c r="P254" s="37"/>
      <c r="Q254" s="37" t="s">
        <v>679</v>
      </c>
      <c r="R254" s="60"/>
    </row>
    <row r="255" spans="1:18" s="7" customFormat="1" ht="60">
      <c r="A255" s="48"/>
      <c r="B255" s="45"/>
      <c r="C255" s="38"/>
      <c r="D255" s="31" t="s">
        <v>25</v>
      </c>
      <c r="E255" s="31" t="s">
        <v>69</v>
      </c>
      <c r="F255" s="38" t="str">
        <f>IF($C255&lt;&gt;"",C255,"")</f>
        <v/>
      </c>
      <c r="G255" s="34">
        <v>1</v>
      </c>
      <c r="H255" s="34">
        <v>1</v>
      </c>
      <c r="I255" s="34">
        <v>5</v>
      </c>
      <c r="J255" s="35">
        <f t="shared" si="108"/>
        <v>5</v>
      </c>
      <c r="K255" s="35">
        <v>1</v>
      </c>
      <c r="L255" s="34">
        <f t="shared" si="109"/>
        <v>5</v>
      </c>
      <c r="M255" s="42" t="s">
        <v>616</v>
      </c>
      <c r="N255" s="61" t="s">
        <v>673</v>
      </c>
      <c r="O255" s="60" t="s">
        <v>677</v>
      </c>
      <c r="P255" s="37"/>
      <c r="Q255" s="37" t="s">
        <v>679</v>
      </c>
      <c r="R255" s="60"/>
    </row>
    <row r="256" spans="1:18" s="7" customFormat="1" ht="60">
      <c r="A256" s="48"/>
      <c r="B256" s="45"/>
      <c r="C256" s="38"/>
      <c r="D256" s="31" t="s">
        <v>25</v>
      </c>
      <c r="E256" s="31" t="s">
        <v>81</v>
      </c>
      <c r="F256" s="38"/>
      <c r="G256" s="34">
        <v>1</v>
      </c>
      <c r="H256" s="34">
        <v>1</v>
      </c>
      <c r="I256" s="34">
        <v>5</v>
      </c>
      <c r="J256" s="35">
        <f t="shared" si="108"/>
        <v>5</v>
      </c>
      <c r="K256" s="35">
        <v>1</v>
      </c>
      <c r="L256" s="34">
        <f t="shared" si="109"/>
        <v>5</v>
      </c>
      <c r="M256" s="42" t="s">
        <v>614</v>
      </c>
      <c r="N256" s="61" t="s">
        <v>673</v>
      </c>
      <c r="O256" s="60" t="s">
        <v>677</v>
      </c>
      <c r="P256" s="37"/>
      <c r="Q256" s="37" t="s">
        <v>679</v>
      </c>
      <c r="R256" s="60"/>
    </row>
    <row r="257" spans="1:18" s="7" customFormat="1" ht="60">
      <c r="A257" s="48"/>
      <c r="B257" s="45"/>
      <c r="C257" s="38"/>
      <c r="D257" s="31" t="s">
        <v>25</v>
      </c>
      <c r="E257" s="31" t="s">
        <v>90</v>
      </c>
      <c r="F257" s="38"/>
      <c r="G257" s="34">
        <v>1</v>
      </c>
      <c r="H257" s="34">
        <v>1</v>
      </c>
      <c r="I257" s="34">
        <v>5</v>
      </c>
      <c r="J257" s="35">
        <f t="shared" si="108"/>
        <v>5</v>
      </c>
      <c r="K257" s="35">
        <v>1</v>
      </c>
      <c r="L257" s="34">
        <f t="shared" si="109"/>
        <v>5</v>
      </c>
      <c r="M257" s="42" t="s">
        <v>615</v>
      </c>
      <c r="N257" s="61" t="s">
        <v>673</v>
      </c>
      <c r="O257" s="60" t="s">
        <v>677</v>
      </c>
      <c r="P257" s="37"/>
      <c r="Q257" s="37" t="s">
        <v>679</v>
      </c>
      <c r="R257" s="60"/>
    </row>
    <row r="258" spans="1:18" s="7" customFormat="1" ht="60">
      <c r="A258" s="48"/>
      <c r="B258" s="45"/>
      <c r="C258" s="38"/>
      <c r="D258" s="31" t="s">
        <v>25</v>
      </c>
      <c r="E258" s="31" t="s">
        <v>91</v>
      </c>
      <c r="F258" s="38"/>
      <c r="G258" s="34">
        <v>1</v>
      </c>
      <c r="H258" s="34">
        <v>1</v>
      </c>
      <c r="I258" s="34">
        <v>5</v>
      </c>
      <c r="J258" s="35">
        <f t="shared" si="108"/>
        <v>5</v>
      </c>
      <c r="K258" s="35">
        <v>1</v>
      </c>
      <c r="L258" s="34">
        <f t="shared" si="109"/>
        <v>5</v>
      </c>
      <c r="M258" s="42" t="s">
        <v>574</v>
      </c>
      <c r="N258" s="61" t="s">
        <v>673</v>
      </c>
      <c r="O258" s="60" t="s">
        <v>677</v>
      </c>
      <c r="P258" s="37"/>
      <c r="Q258" s="37" t="s">
        <v>679</v>
      </c>
      <c r="R258" s="60"/>
    </row>
    <row r="259" spans="1:18" s="7" customFormat="1" ht="60">
      <c r="A259" s="48"/>
      <c r="B259" s="45"/>
      <c r="C259" s="38"/>
      <c r="D259" s="31" t="s">
        <v>27</v>
      </c>
      <c r="E259" s="31" t="s">
        <v>80</v>
      </c>
      <c r="F259" s="38" t="str">
        <f t="shared" ref="F259:F264" si="110">IF($C259&lt;&gt;"",C259,"")</f>
        <v/>
      </c>
      <c r="G259" s="34">
        <v>1</v>
      </c>
      <c r="H259" s="34">
        <v>1</v>
      </c>
      <c r="I259" s="34">
        <v>5</v>
      </c>
      <c r="J259" s="35">
        <f t="shared" si="108"/>
        <v>5</v>
      </c>
      <c r="K259" s="35">
        <v>1</v>
      </c>
      <c r="L259" s="34">
        <f t="shared" si="109"/>
        <v>5</v>
      </c>
      <c r="M259" s="42" t="s">
        <v>602</v>
      </c>
      <c r="N259" s="61" t="s">
        <v>676</v>
      </c>
      <c r="O259" s="61" t="s">
        <v>678</v>
      </c>
      <c r="P259" s="37"/>
      <c r="Q259" s="37" t="s">
        <v>680</v>
      </c>
      <c r="R259" s="61"/>
    </row>
    <row r="260" spans="1:18" s="7" customFormat="1" ht="60">
      <c r="A260" s="48"/>
      <c r="B260" s="45"/>
      <c r="C260" s="38"/>
      <c r="D260" s="31" t="s">
        <v>32</v>
      </c>
      <c r="E260" s="31" t="s">
        <v>91</v>
      </c>
      <c r="F260" s="38" t="str">
        <f t="shared" si="110"/>
        <v/>
      </c>
      <c r="G260" s="34">
        <v>1</v>
      </c>
      <c r="H260" s="34">
        <v>1</v>
      </c>
      <c r="I260" s="34">
        <v>5</v>
      </c>
      <c r="J260" s="35">
        <f t="shared" si="108"/>
        <v>5</v>
      </c>
      <c r="K260" s="35">
        <v>1</v>
      </c>
      <c r="L260" s="34">
        <f t="shared" si="109"/>
        <v>5</v>
      </c>
      <c r="M260" s="42" t="s">
        <v>603</v>
      </c>
      <c r="N260" s="61" t="s">
        <v>676</v>
      </c>
      <c r="O260" s="61" t="s">
        <v>678</v>
      </c>
      <c r="P260" s="37"/>
      <c r="Q260" s="37" t="s">
        <v>680</v>
      </c>
      <c r="R260" s="61"/>
    </row>
    <row r="261" spans="1:18" s="7" customFormat="1" ht="45">
      <c r="A261" s="48"/>
      <c r="B261" s="45"/>
      <c r="C261" s="38"/>
      <c r="D261" s="31" t="s">
        <v>19</v>
      </c>
      <c r="E261" s="31" t="s">
        <v>70</v>
      </c>
      <c r="F261" s="38" t="str">
        <f t="shared" si="110"/>
        <v/>
      </c>
      <c r="G261" s="34">
        <v>1</v>
      </c>
      <c r="H261" s="34">
        <v>1</v>
      </c>
      <c r="I261" s="34">
        <v>5</v>
      </c>
      <c r="J261" s="35">
        <f t="shared" si="108"/>
        <v>5</v>
      </c>
      <c r="K261" s="35">
        <v>1</v>
      </c>
      <c r="L261" s="34">
        <f t="shared" si="109"/>
        <v>5</v>
      </c>
      <c r="M261" s="42" t="s">
        <v>610</v>
      </c>
      <c r="N261" s="61" t="s">
        <v>673</v>
      </c>
      <c r="O261" s="60" t="s">
        <v>689</v>
      </c>
      <c r="P261" s="37" t="s">
        <v>692</v>
      </c>
      <c r="Q261" s="37" t="s">
        <v>670</v>
      </c>
      <c r="R261" s="62">
        <v>43445</v>
      </c>
    </row>
    <row r="262" spans="1:18" s="7" customFormat="1" ht="45">
      <c r="A262" s="48"/>
      <c r="B262" s="45"/>
      <c r="C262" s="38"/>
      <c r="D262" s="31" t="s">
        <v>36</v>
      </c>
      <c r="E262" s="31" t="s">
        <v>67</v>
      </c>
      <c r="F262" s="38" t="str">
        <f t="shared" si="110"/>
        <v/>
      </c>
      <c r="G262" s="34">
        <v>1</v>
      </c>
      <c r="H262" s="34">
        <v>1</v>
      </c>
      <c r="I262" s="34">
        <v>5</v>
      </c>
      <c r="J262" s="35">
        <f t="shared" si="108"/>
        <v>5</v>
      </c>
      <c r="K262" s="35">
        <v>1</v>
      </c>
      <c r="L262" s="41">
        <f t="shared" si="109"/>
        <v>5</v>
      </c>
      <c r="M262" s="42" t="s">
        <v>611</v>
      </c>
      <c r="N262" s="61" t="s">
        <v>673</v>
      </c>
      <c r="O262" s="61" t="s">
        <v>672</v>
      </c>
      <c r="P262" s="37"/>
      <c r="Q262" s="37" t="s">
        <v>679</v>
      </c>
      <c r="R262" s="61"/>
    </row>
    <row r="263" spans="1:18" s="7" customFormat="1" ht="45">
      <c r="A263" s="48"/>
      <c r="B263" s="45"/>
      <c r="C263" s="38"/>
      <c r="D263" s="31" t="s">
        <v>50</v>
      </c>
      <c r="E263" s="40" t="s">
        <v>72</v>
      </c>
      <c r="F263" s="38" t="str">
        <f t="shared" si="110"/>
        <v/>
      </c>
      <c r="G263" s="34">
        <v>1</v>
      </c>
      <c r="H263" s="34">
        <v>1</v>
      </c>
      <c r="I263" s="34">
        <v>5</v>
      </c>
      <c r="J263" s="35">
        <f t="shared" si="108"/>
        <v>5</v>
      </c>
      <c r="K263" s="35">
        <v>1</v>
      </c>
      <c r="L263" s="41">
        <f t="shared" si="109"/>
        <v>5</v>
      </c>
      <c r="M263" s="42" t="s">
        <v>811</v>
      </c>
      <c r="N263" s="61" t="s">
        <v>673</v>
      </c>
      <c r="O263" s="61" t="s">
        <v>683</v>
      </c>
      <c r="P263" s="37"/>
      <c r="Q263" s="37" t="s">
        <v>679</v>
      </c>
      <c r="R263" s="61"/>
    </row>
    <row r="264" spans="1:18" s="7" customFormat="1" ht="30">
      <c r="A264" s="49"/>
      <c r="B264" s="46"/>
      <c r="C264" s="39"/>
      <c r="D264" s="31" t="s">
        <v>50</v>
      </c>
      <c r="E264" s="40" t="s">
        <v>72</v>
      </c>
      <c r="F264" s="39" t="str">
        <f t="shared" si="110"/>
        <v/>
      </c>
      <c r="G264" s="34">
        <v>1</v>
      </c>
      <c r="H264" s="34">
        <v>1</v>
      </c>
      <c r="I264" s="34">
        <v>5</v>
      </c>
      <c r="J264" s="35">
        <f t="shared" si="108"/>
        <v>5</v>
      </c>
      <c r="K264" s="35">
        <v>1</v>
      </c>
      <c r="L264" s="41">
        <f t="shared" si="109"/>
        <v>5</v>
      </c>
      <c r="M264" s="42" t="s">
        <v>813</v>
      </c>
      <c r="N264" s="61" t="s">
        <v>673</v>
      </c>
      <c r="O264" s="61" t="s">
        <v>683</v>
      </c>
      <c r="P264" s="31"/>
      <c r="Q264" s="31" t="s">
        <v>679</v>
      </c>
      <c r="R264" s="61"/>
    </row>
    <row r="265" spans="1:18" s="7" customFormat="1" ht="69.75" customHeight="1">
      <c r="A265" s="47">
        <v>38</v>
      </c>
      <c r="B265" s="44" t="s">
        <v>752</v>
      </c>
      <c r="C265" s="37" t="s">
        <v>744</v>
      </c>
      <c r="D265" s="31" t="s">
        <v>112</v>
      </c>
      <c r="E265" s="31" t="s">
        <v>600</v>
      </c>
      <c r="F265" s="37" t="s">
        <v>744</v>
      </c>
      <c r="G265" s="34">
        <v>5</v>
      </c>
      <c r="H265" s="34">
        <v>5</v>
      </c>
      <c r="I265" s="34">
        <v>5</v>
      </c>
      <c r="J265" s="35">
        <f>IF(MAX(G265:I265)=0,"",MAX(G265:I265))</f>
        <v>5</v>
      </c>
      <c r="K265" s="35">
        <v>1</v>
      </c>
      <c r="L265" s="34">
        <f>IFERROR(J265*K265,"")</f>
        <v>5</v>
      </c>
      <c r="M265" s="42" t="s">
        <v>571</v>
      </c>
      <c r="N265" s="61" t="s">
        <v>673</v>
      </c>
      <c r="O265" s="61" t="s">
        <v>687</v>
      </c>
      <c r="P265" s="37"/>
      <c r="Q265" s="37" t="s">
        <v>668</v>
      </c>
      <c r="R265" s="62">
        <v>43445</v>
      </c>
    </row>
    <row r="266" spans="1:18" s="7" customFormat="1" ht="60">
      <c r="A266" s="48"/>
      <c r="B266" s="45"/>
      <c r="C266" s="38"/>
      <c r="D266" s="31" t="s">
        <v>36</v>
      </c>
      <c r="E266" s="31" t="s">
        <v>67</v>
      </c>
      <c r="F266" s="38" t="str">
        <f>IF($C266&lt;&gt;"",C266,"")</f>
        <v/>
      </c>
      <c r="G266" s="34">
        <v>1</v>
      </c>
      <c r="H266" s="34">
        <v>1</v>
      </c>
      <c r="I266" s="34">
        <v>5</v>
      </c>
      <c r="J266" s="35">
        <f t="shared" ref="J266:J275" si="111">IF(MAX(G266:I266)=0,"",MAX(G266:I266))</f>
        <v>5</v>
      </c>
      <c r="K266" s="35">
        <v>1</v>
      </c>
      <c r="L266" s="34">
        <f t="shared" ref="L266:L275" si="112">IFERROR(J266*K266,"")</f>
        <v>5</v>
      </c>
      <c r="M266" s="42" t="s">
        <v>809</v>
      </c>
      <c r="N266" s="61" t="s">
        <v>673</v>
      </c>
      <c r="O266" s="60" t="s">
        <v>677</v>
      </c>
      <c r="P266" s="37"/>
      <c r="Q266" s="37" t="s">
        <v>679</v>
      </c>
      <c r="R266" s="60"/>
    </row>
    <row r="267" spans="1:18" s="7" customFormat="1" ht="60">
      <c r="A267" s="48"/>
      <c r="B267" s="45"/>
      <c r="C267" s="38"/>
      <c r="D267" s="31" t="s">
        <v>25</v>
      </c>
      <c r="E267" s="31" t="s">
        <v>69</v>
      </c>
      <c r="F267" s="38" t="str">
        <f>IF($C267&lt;&gt;"",C267,"")</f>
        <v/>
      </c>
      <c r="G267" s="34">
        <v>1</v>
      </c>
      <c r="H267" s="34">
        <v>1</v>
      </c>
      <c r="I267" s="34">
        <v>5</v>
      </c>
      <c r="J267" s="35">
        <f t="shared" si="111"/>
        <v>5</v>
      </c>
      <c r="K267" s="35">
        <v>1</v>
      </c>
      <c r="L267" s="34">
        <f t="shared" si="112"/>
        <v>5</v>
      </c>
      <c r="M267" s="42" t="s">
        <v>616</v>
      </c>
      <c r="N267" s="61" t="s">
        <v>673</v>
      </c>
      <c r="O267" s="60" t="s">
        <v>677</v>
      </c>
      <c r="P267" s="37"/>
      <c r="Q267" s="37" t="s">
        <v>679</v>
      </c>
      <c r="R267" s="60"/>
    </row>
    <row r="268" spans="1:18" s="7" customFormat="1" ht="60">
      <c r="A268" s="48"/>
      <c r="B268" s="45"/>
      <c r="C268" s="38"/>
      <c r="D268" s="31" t="s">
        <v>25</v>
      </c>
      <c r="E268" s="31" t="s">
        <v>81</v>
      </c>
      <c r="F268" s="38"/>
      <c r="G268" s="34">
        <v>1</v>
      </c>
      <c r="H268" s="34">
        <v>1</v>
      </c>
      <c r="I268" s="34">
        <v>5</v>
      </c>
      <c r="J268" s="35">
        <f t="shared" si="111"/>
        <v>5</v>
      </c>
      <c r="K268" s="35">
        <v>1</v>
      </c>
      <c r="L268" s="34">
        <f t="shared" si="112"/>
        <v>5</v>
      </c>
      <c r="M268" s="42" t="s">
        <v>614</v>
      </c>
      <c r="N268" s="61" t="s">
        <v>673</v>
      </c>
      <c r="O268" s="60" t="s">
        <v>677</v>
      </c>
      <c r="P268" s="37"/>
      <c r="Q268" s="37" t="s">
        <v>679</v>
      </c>
      <c r="R268" s="60"/>
    </row>
    <row r="269" spans="1:18" s="7" customFormat="1" ht="60">
      <c r="A269" s="48"/>
      <c r="B269" s="45"/>
      <c r="C269" s="38"/>
      <c r="D269" s="31" t="s">
        <v>25</v>
      </c>
      <c r="E269" s="31" t="s">
        <v>90</v>
      </c>
      <c r="F269" s="38"/>
      <c r="G269" s="34">
        <v>1</v>
      </c>
      <c r="H269" s="34">
        <v>1</v>
      </c>
      <c r="I269" s="34">
        <v>5</v>
      </c>
      <c r="J269" s="35">
        <f t="shared" si="111"/>
        <v>5</v>
      </c>
      <c r="K269" s="35">
        <v>1</v>
      </c>
      <c r="L269" s="34">
        <f t="shared" si="112"/>
        <v>5</v>
      </c>
      <c r="M269" s="42" t="s">
        <v>615</v>
      </c>
      <c r="N269" s="61" t="s">
        <v>673</v>
      </c>
      <c r="O269" s="60" t="s">
        <v>677</v>
      </c>
      <c r="P269" s="37"/>
      <c r="Q269" s="37" t="s">
        <v>679</v>
      </c>
      <c r="R269" s="60"/>
    </row>
    <row r="270" spans="1:18" s="7" customFormat="1" ht="60">
      <c r="A270" s="48"/>
      <c r="B270" s="45"/>
      <c r="C270" s="38"/>
      <c r="D270" s="31" t="s">
        <v>25</v>
      </c>
      <c r="E270" s="31" t="s">
        <v>91</v>
      </c>
      <c r="F270" s="38"/>
      <c r="G270" s="34">
        <v>1</v>
      </c>
      <c r="H270" s="34">
        <v>1</v>
      </c>
      <c r="I270" s="34">
        <v>5</v>
      </c>
      <c r="J270" s="35">
        <f t="shared" si="111"/>
        <v>5</v>
      </c>
      <c r="K270" s="35">
        <v>1</v>
      </c>
      <c r="L270" s="34">
        <f t="shared" si="112"/>
        <v>5</v>
      </c>
      <c r="M270" s="42" t="s">
        <v>574</v>
      </c>
      <c r="N270" s="61" t="s">
        <v>673</v>
      </c>
      <c r="O270" s="60" t="s">
        <v>677</v>
      </c>
      <c r="P270" s="37"/>
      <c r="Q270" s="37" t="s">
        <v>679</v>
      </c>
      <c r="R270" s="60"/>
    </row>
    <row r="271" spans="1:18" s="7" customFormat="1" ht="60">
      <c r="A271" s="48"/>
      <c r="B271" s="45"/>
      <c r="C271" s="38"/>
      <c r="D271" s="31" t="s">
        <v>27</v>
      </c>
      <c r="E271" s="31" t="s">
        <v>80</v>
      </c>
      <c r="F271" s="38" t="str">
        <f t="shared" ref="F271:F275" si="113">IF($C271&lt;&gt;"",C271,"")</f>
        <v/>
      </c>
      <c r="G271" s="34">
        <v>1</v>
      </c>
      <c r="H271" s="34">
        <v>1</v>
      </c>
      <c r="I271" s="34">
        <v>5</v>
      </c>
      <c r="J271" s="35">
        <f t="shared" si="111"/>
        <v>5</v>
      </c>
      <c r="K271" s="35">
        <v>1</v>
      </c>
      <c r="L271" s="34">
        <f t="shared" si="112"/>
        <v>5</v>
      </c>
      <c r="M271" s="42" t="s">
        <v>602</v>
      </c>
      <c r="N271" s="61" t="s">
        <v>676</v>
      </c>
      <c r="O271" s="61" t="s">
        <v>678</v>
      </c>
      <c r="P271" s="37"/>
      <c r="Q271" s="37" t="s">
        <v>680</v>
      </c>
      <c r="R271" s="61"/>
    </row>
    <row r="272" spans="1:18" s="7" customFormat="1" ht="60">
      <c r="A272" s="48"/>
      <c r="B272" s="45"/>
      <c r="C272" s="38"/>
      <c r="D272" s="31" t="s">
        <v>32</v>
      </c>
      <c r="E272" s="31" t="s">
        <v>91</v>
      </c>
      <c r="F272" s="38" t="str">
        <f t="shared" si="113"/>
        <v/>
      </c>
      <c r="G272" s="34">
        <v>1</v>
      </c>
      <c r="H272" s="34">
        <v>1</v>
      </c>
      <c r="I272" s="34">
        <v>5</v>
      </c>
      <c r="J272" s="35">
        <f t="shared" si="111"/>
        <v>5</v>
      </c>
      <c r="K272" s="35">
        <v>1</v>
      </c>
      <c r="L272" s="34">
        <f t="shared" si="112"/>
        <v>5</v>
      </c>
      <c r="M272" s="42" t="s">
        <v>603</v>
      </c>
      <c r="N272" s="61" t="s">
        <v>676</v>
      </c>
      <c r="O272" s="61" t="s">
        <v>678</v>
      </c>
      <c r="P272" s="37"/>
      <c r="Q272" s="37" t="s">
        <v>680</v>
      </c>
      <c r="R272" s="61"/>
    </row>
    <row r="273" spans="1:18" s="7" customFormat="1" ht="45">
      <c r="A273" s="48"/>
      <c r="B273" s="45"/>
      <c r="C273" s="38"/>
      <c r="D273" s="31" t="s">
        <v>19</v>
      </c>
      <c r="E273" s="31" t="s">
        <v>70</v>
      </c>
      <c r="F273" s="38" t="str">
        <f t="shared" si="113"/>
        <v/>
      </c>
      <c r="G273" s="34">
        <v>1</v>
      </c>
      <c r="H273" s="34">
        <v>1</v>
      </c>
      <c r="I273" s="34">
        <v>5</v>
      </c>
      <c r="J273" s="35">
        <f t="shared" si="111"/>
        <v>5</v>
      </c>
      <c r="K273" s="35">
        <v>1</v>
      </c>
      <c r="L273" s="34">
        <f t="shared" si="112"/>
        <v>5</v>
      </c>
      <c r="M273" s="42" t="s">
        <v>610</v>
      </c>
      <c r="N273" s="61" t="s">
        <v>673</v>
      </c>
      <c r="O273" s="60" t="s">
        <v>689</v>
      </c>
      <c r="P273" s="37" t="s">
        <v>692</v>
      </c>
      <c r="Q273" s="37" t="s">
        <v>670</v>
      </c>
      <c r="R273" s="62">
        <v>43445</v>
      </c>
    </row>
    <row r="274" spans="1:18" s="7" customFormat="1" ht="45">
      <c r="A274" s="48"/>
      <c r="B274" s="45"/>
      <c r="C274" s="38"/>
      <c r="D274" s="31" t="s">
        <v>36</v>
      </c>
      <c r="E274" s="31" t="s">
        <v>67</v>
      </c>
      <c r="F274" s="38" t="str">
        <f t="shared" si="113"/>
        <v/>
      </c>
      <c r="G274" s="34">
        <v>1</v>
      </c>
      <c r="H274" s="34">
        <v>1</v>
      </c>
      <c r="I274" s="34">
        <v>5</v>
      </c>
      <c r="J274" s="35">
        <f t="shared" si="111"/>
        <v>5</v>
      </c>
      <c r="K274" s="35">
        <v>1</v>
      </c>
      <c r="L274" s="41">
        <f t="shared" si="112"/>
        <v>5</v>
      </c>
      <c r="M274" s="42" t="s">
        <v>611</v>
      </c>
      <c r="N274" s="61" t="s">
        <v>673</v>
      </c>
      <c r="O274" s="61" t="s">
        <v>672</v>
      </c>
      <c r="P274" s="37"/>
      <c r="Q274" s="37" t="s">
        <v>679</v>
      </c>
      <c r="R274" s="61"/>
    </row>
    <row r="275" spans="1:18" s="7" customFormat="1" ht="45">
      <c r="A275" s="48"/>
      <c r="B275" s="45"/>
      <c r="C275" s="38"/>
      <c r="D275" s="31" t="s">
        <v>50</v>
      </c>
      <c r="E275" s="40" t="s">
        <v>72</v>
      </c>
      <c r="F275" s="38" t="str">
        <f t="shared" si="113"/>
        <v/>
      </c>
      <c r="G275" s="34">
        <v>1</v>
      </c>
      <c r="H275" s="34">
        <v>1</v>
      </c>
      <c r="I275" s="34">
        <v>5</v>
      </c>
      <c r="J275" s="35">
        <f t="shared" si="111"/>
        <v>5</v>
      </c>
      <c r="K275" s="35">
        <v>1</v>
      </c>
      <c r="L275" s="41">
        <f t="shared" si="112"/>
        <v>5</v>
      </c>
      <c r="M275" s="42" t="s">
        <v>811</v>
      </c>
      <c r="N275" s="61" t="s">
        <v>673</v>
      </c>
      <c r="O275" s="61" t="s">
        <v>683</v>
      </c>
      <c r="P275" s="37"/>
      <c r="Q275" s="37" t="s">
        <v>679</v>
      </c>
      <c r="R275" s="61"/>
    </row>
    <row r="276" spans="1:18" s="7" customFormat="1">
      <c r="A276" s="49"/>
      <c r="B276" s="46"/>
      <c r="C276" s="39"/>
      <c r="D276" s="31"/>
      <c r="E276" s="40"/>
      <c r="F276" s="39"/>
      <c r="G276" s="34"/>
      <c r="H276" s="34"/>
      <c r="I276" s="34"/>
      <c r="J276" s="35"/>
      <c r="K276" s="35"/>
      <c r="L276" s="41"/>
      <c r="M276" s="42"/>
      <c r="N276" s="61"/>
      <c r="O276" s="61"/>
      <c r="P276" s="31"/>
      <c r="Q276" s="31"/>
      <c r="R276" s="61"/>
    </row>
    <row r="277" spans="1:18" s="7" customFormat="1" ht="69.75" customHeight="1">
      <c r="A277" s="47">
        <v>39</v>
      </c>
      <c r="B277" s="44" t="s">
        <v>753</v>
      </c>
      <c r="C277" s="37" t="s">
        <v>744</v>
      </c>
      <c r="D277" s="31" t="s">
        <v>112</v>
      </c>
      <c r="E277" s="31" t="s">
        <v>600</v>
      </c>
      <c r="F277" s="37" t="s">
        <v>744</v>
      </c>
      <c r="G277" s="34">
        <v>5</v>
      </c>
      <c r="H277" s="34">
        <v>5</v>
      </c>
      <c r="I277" s="34">
        <v>5</v>
      </c>
      <c r="J277" s="35">
        <f>IF(MAX(G277:I277)=0,"",MAX(G277:I277))</f>
        <v>5</v>
      </c>
      <c r="K277" s="35">
        <v>1</v>
      </c>
      <c r="L277" s="34">
        <f>IFERROR(J277*K277,"")</f>
        <v>5</v>
      </c>
      <c r="M277" s="42" t="s">
        <v>571</v>
      </c>
      <c r="N277" s="61" t="s">
        <v>673</v>
      </c>
      <c r="O277" s="61" t="s">
        <v>687</v>
      </c>
      <c r="P277" s="37"/>
      <c r="Q277" s="37" t="s">
        <v>668</v>
      </c>
      <c r="R277" s="62">
        <v>43445</v>
      </c>
    </row>
    <row r="278" spans="1:18" s="7" customFormat="1" ht="60">
      <c r="A278" s="48"/>
      <c r="B278" s="45"/>
      <c r="C278" s="38"/>
      <c r="D278" s="31" t="s">
        <v>36</v>
      </c>
      <c r="E278" s="31" t="s">
        <v>67</v>
      </c>
      <c r="F278" s="38" t="str">
        <f>IF($C278&lt;&gt;"",C278,"")</f>
        <v/>
      </c>
      <c r="G278" s="34">
        <v>1</v>
      </c>
      <c r="H278" s="34">
        <v>1</v>
      </c>
      <c r="I278" s="34">
        <v>5</v>
      </c>
      <c r="J278" s="35">
        <f t="shared" ref="J278:J287" si="114">IF(MAX(G278:I278)=0,"",MAX(G278:I278))</f>
        <v>5</v>
      </c>
      <c r="K278" s="35">
        <v>1</v>
      </c>
      <c r="L278" s="34">
        <f t="shared" ref="L278:L287" si="115">IFERROR(J278*K278,"")</f>
        <v>5</v>
      </c>
      <c r="M278" s="42" t="s">
        <v>809</v>
      </c>
      <c r="N278" s="61" t="s">
        <v>673</v>
      </c>
      <c r="O278" s="60" t="s">
        <v>677</v>
      </c>
      <c r="P278" s="37"/>
      <c r="Q278" s="37" t="s">
        <v>679</v>
      </c>
      <c r="R278" s="60"/>
    </row>
    <row r="279" spans="1:18" s="7" customFormat="1" ht="60">
      <c r="A279" s="48"/>
      <c r="B279" s="45"/>
      <c r="C279" s="38"/>
      <c r="D279" s="31" t="s">
        <v>25</v>
      </c>
      <c r="E279" s="31" t="s">
        <v>69</v>
      </c>
      <c r="F279" s="38" t="str">
        <f>IF($C279&lt;&gt;"",C279,"")</f>
        <v/>
      </c>
      <c r="G279" s="34">
        <v>1</v>
      </c>
      <c r="H279" s="34">
        <v>1</v>
      </c>
      <c r="I279" s="34">
        <v>5</v>
      </c>
      <c r="J279" s="35">
        <f t="shared" si="114"/>
        <v>5</v>
      </c>
      <c r="K279" s="35">
        <v>1</v>
      </c>
      <c r="L279" s="34">
        <f t="shared" si="115"/>
        <v>5</v>
      </c>
      <c r="M279" s="42" t="s">
        <v>616</v>
      </c>
      <c r="N279" s="61" t="s">
        <v>673</v>
      </c>
      <c r="O279" s="60" t="s">
        <v>677</v>
      </c>
      <c r="P279" s="37"/>
      <c r="Q279" s="37" t="s">
        <v>679</v>
      </c>
      <c r="R279" s="60"/>
    </row>
    <row r="280" spans="1:18" s="7" customFormat="1" ht="60">
      <c r="A280" s="48"/>
      <c r="B280" s="45"/>
      <c r="C280" s="38"/>
      <c r="D280" s="31" t="s">
        <v>25</v>
      </c>
      <c r="E280" s="31" t="s">
        <v>81</v>
      </c>
      <c r="F280" s="38"/>
      <c r="G280" s="34">
        <v>1</v>
      </c>
      <c r="H280" s="34">
        <v>1</v>
      </c>
      <c r="I280" s="34">
        <v>5</v>
      </c>
      <c r="J280" s="35">
        <f t="shared" si="114"/>
        <v>5</v>
      </c>
      <c r="K280" s="35">
        <v>1</v>
      </c>
      <c r="L280" s="34">
        <f t="shared" si="115"/>
        <v>5</v>
      </c>
      <c r="M280" s="42" t="s">
        <v>614</v>
      </c>
      <c r="N280" s="61" t="s">
        <v>673</v>
      </c>
      <c r="O280" s="60" t="s">
        <v>677</v>
      </c>
      <c r="P280" s="37"/>
      <c r="Q280" s="37" t="s">
        <v>679</v>
      </c>
      <c r="R280" s="60"/>
    </row>
    <row r="281" spans="1:18" s="7" customFormat="1" ht="60">
      <c r="A281" s="48"/>
      <c r="B281" s="45"/>
      <c r="C281" s="38"/>
      <c r="D281" s="31" t="s">
        <v>25</v>
      </c>
      <c r="E281" s="31" t="s">
        <v>90</v>
      </c>
      <c r="F281" s="38"/>
      <c r="G281" s="34">
        <v>1</v>
      </c>
      <c r="H281" s="34">
        <v>1</v>
      </c>
      <c r="I281" s="34">
        <v>5</v>
      </c>
      <c r="J281" s="35">
        <f t="shared" si="114"/>
        <v>5</v>
      </c>
      <c r="K281" s="35">
        <v>1</v>
      </c>
      <c r="L281" s="34">
        <f t="shared" si="115"/>
        <v>5</v>
      </c>
      <c r="M281" s="42" t="s">
        <v>615</v>
      </c>
      <c r="N281" s="61" t="s">
        <v>673</v>
      </c>
      <c r="O281" s="60" t="s">
        <v>677</v>
      </c>
      <c r="P281" s="37"/>
      <c r="Q281" s="37" t="s">
        <v>679</v>
      </c>
      <c r="R281" s="60"/>
    </row>
    <row r="282" spans="1:18" s="7" customFormat="1" ht="60">
      <c r="A282" s="48"/>
      <c r="B282" s="45"/>
      <c r="C282" s="38"/>
      <c r="D282" s="31" t="s">
        <v>25</v>
      </c>
      <c r="E282" s="31" t="s">
        <v>91</v>
      </c>
      <c r="F282" s="38"/>
      <c r="G282" s="34">
        <v>1</v>
      </c>
      <c r="H282" s="34">
        <v>1</v>
      </c>
      <c r="I282" s="34">
        <v>5</v>
      </c>
      <c r="J282" s="35">
        <f t="shared" si="114"/>
        <v>5</v>
      </c>
      <c r="K282" s="35">
        <v>1</v>
      </c>
      <c r="L282" s="34">
        <f t="shared" si="115"/>
        <v>5</v>
      </c>
      <c r="M282" s="42" t="s">
        <v>574</v>
      </c>
      <c r="N282" s="61" t="s">
        <v>673</v>
      </c>
      <c r="O282" s="60" t="s">
        <v>677</v>
      </c>
      <c r="P282" s="37"/>
      <c r="Q282" s="37" t="s">
        <v>679</v>
      </c>
      <c r="R282" s="60"/>
    </row>
    <row r="283" spans="1:18" s="7" customFormat="1" ht="60">
      <c r="A283" s="48"/>
      <c r="B283" s="45"/>
      <c r="C283" s="38"/>
      <c r="D283" s="31" t="s">
        <v>27</v>
      </c>
      <c r="E283" s="31" t="s">
        <v>80</v>
      </c>
      <c r="F283" s="38" t="str">
        <f t="shared" ref="F283:F287" si="116">IF($C283&lt;&gt;"",C283,"")</f>
        <v/>
      </c>
      <c r="G283" s="34">
        <v>1</v>
      </c>
      <c r="H283" s="34">
        <v>1</v>
      </c>
      <c r="I283" s="34">
        <v>5</v>
      </c>
      <c r="J283" s="35">
        <f t="shared" si="114"/>
        <v>5</v>
      </c>
      <c r="K283" s="35">
        <v>1</v>
      </c>
      <c r="L283" s="34">
        <f t="shared" si="115"/>
        <v>5</v>
      </c>
      <c r="M283" s="42" t="s">
        <v>602</v>
      </c>
      <c r="N283" s="61" t="s">
        <v>676</v>
      </c>
      <c r="O283" s="61" t="s">
        <v>678</v>
      </c>
      <c r="P283" s="37"/>
      <c r="Q283" s="37" t="s">
        <v>680</v>
      </c>
      <c r="R283" s="61"/>
    </row>
    <row r="284" spans="1:18" s="7" customFormat="1" ht="60">
      <c r="A284" s="48"/>
      <c r="B284" s="45"/>
      <c r="C284" s="38"/>
      <c r="D284" s="31" t="s">
        <v>32</v>
      </c>
      <c r="E284" s="31" t="s">
        <v>91</v>
      </c>
      <c r="F284" s="38" t="str">
        <f t="shared" si="116"/>
        <v/>
      </c>
      <c r="G284" s="34">
        <v>1</v>
      </c>
      <c r="H284" s="34">
        <v>1</v>
      </c>
      <c r="I284" s="34">
        <v>5</v>
      </c>
      <c r="J284" s="35">
        <f t="shared" si="114"/>
        <v>5</v>
      </c>
      <c r="K284" s="35">
        <v>1</v>
      </c>
      <c r="L284" s="34">
        <f t="shared" si="115"/>
        <v>5</v>
      </c>
      <c r="M284" s="42" t="s">
        <v>603</v>
      </c>
      <c r="N284" s="61" t="s">
        <v>676</v>
      </c>
      <c r="O284" s="61" t="s">
        <v>678</v>
      </c>
      <c r="P284" s="37"/>
      <c r="Q284" s="37" t="s">
        <v>680</v>
      </c>
      <c r="R284" s="61"/>
    </row>
    <row r="285" spans="1:18" s="7" customFormat="1" ht="45">
      <c r="A285" s="48"/>
      <c r="B285" s="45"/>
      <c r="C285" s="38"/>
      <c r="D285" s="31" t="s">
        <v>19</v>
      </c>
      <c r="E285" s="31" t="s">
        <v>70</v>
      </c>
      <c r="F285" s="38" t="str">
        <f t="shared" si="116"/>
        <v/>
      </c>
      <c r="G285" s="34">
        <v>1</v>
      </c>
      <c r="H285" s="34">
        <v>1</v>
      </c>
      <c r="I285" s="34">
        <v>5</v>
      </c>
      <c r="J285" s="35">
        <f t="shared" si="114"/>
        <v>5</v>
      </c>
      <c r="K285" s="35">
        <v>1</v>
      </c>
      <c r="L285" s="34">
        <f t="shared" si="115"/>
        <v>5</v>
      </c>
      <c r="M285" s="42" t="s">
        <v>610</v>
      </c>
      <c r="N285" s="61" t="s">
        <v>673</v>
      </c>
      <c r="O285" s="60" t="s">
        <v>689</v>
      </c>
      <c r="P285" s="37" t="s">
        <v>692</v>
      </c>
      <c r="Q285" s="37" t="s">
        <v>670</v>
      </c>
      <c r="R285" s="62">
        <v>43445</v>
      </c>
    </row>
    <row r="286" spans="1:18" s="7" customFormat="1" ht="45">
      <c r="A286" s="48"/>
      <c r="B286" s="45"/>
      <c r="C286" s="38"/>
      <c r="D286" s="31" t="s">
        <v>36</v>
      </c>
      <c r="E286" s="31" t="s">
        <v>67</v>
      </c>
      <c r="F286" s="38" t="str">
        <f t="shared" si="116"/>
        <v/>
      </c>
      <c r="G286" s="34">
        <v>1</v>
      </c>
      <c r="H286" s="34">
        <v>1</v>
      </c>
      <c r="I286" s="34">
        <v>5</v>
      </c>
      <c r="J286" s="35">
        <f t="shared" si="114"/>
        <v>5</v>
      </c>
      <c r="K286" s="35">
        <v>1</v>
      </c>
      <c r="L286" s="41">
        <f t="shared" si="115"/>
        <v>5</v>
      </c>
      <c r="M286" s="42" t="s">
        <v>611</v>
      </c>
      <c r="N286" s="61" t="s">
        <v>673</v>
      </c>
      <c r="O286" s="61" t="s">
        <v>672</v>
      </c>
      <c r="P286" s="37"/>
      <c r="Q286" s="37" t="s">
        <v>679</v>
      </c>
      <c r="R286" s="61"/>
    </row>
    <row r="287" spans="1:18" s="7" customFormat="1" ht="45">
      <c r="A287" s="48"/>
      <c r="B287" s="45"/>
      <c r="C287" s="38"/>
      <c r="D287" s="31" t="s">
        <v>50</v>
      </c>
      <c r="E287" s="40" t="s">
        <v>72</v>
      </c>
      <c r="F287" s="38" t="str">
        <f t="shared" si="116"/>
        <v/>
      </c>
      <c r="G287" s="34">
        <v>1</v>
      </c>
      <c r="H287" s="34">
        <v>1</v>
      </c>
      <c r="I287" s="34">
        <v>5</v>
      </c>
      <c r="J287" s="35">
        <f t="shared" si="114"/>
        <v>5</v>
      </c>
      <c r="K287" s="35">
        <v>1</v>
      </c>
      <c r="L287" s="41">
        <f t="shared" si="115"/>
        <v>5</v>
      </c>
      <c r="M287" s="42" t="s">
        <v>811</v>
      </c>
      <c r="N287" s="61" t="s">
        <v>673</v>
      </c>
      <c r="O287" s="61" t="s">
        <v>683</v>
      </c>
      <c r="P287" s="37"/>
      <c r="Q287" s="37" t="s">
        <v>679</v>
      </c>
      <c r="R287" s="61"/>
    </row>
    <row r="288" spans="1:18" s="7" customFormat="1">
      <c r="A288" s="49"/>
      <c r="B288" s="46"/>
      <c r="C288" s="39"/>
      <c r="D288" s="31"/>
      <c r="E288" s="40"/>
      <c r="F288" s="39"/>
      <c r="G288" s="34"/>
      <c r="H288" s="34"/>
      <c r="I288" s="34"/>
      <c r="J288" s="35"/>
      <c r="K288" s="35"/>
      <c r="L288" s="41"/>
      <c r="M288" s="42"/>
      <c r="N288" s="61"/>
      <c r="O288" s="61"/>
      <c r="P288" s="31"/>
      <c r="Q288" s="31"/>
      <c r="R288" s="61"/>
    </row>
    <row r="289" spans="1:18" s="7" customFormat="1" ht="69.75" customHeight="1">
      <c r="A289" s="47">
        <v>40</v>
      </c>
      <c r="B289" s="44" t="s">
        <v>762</v>
      </c>
      <c r="C289" s="37" t="s">
        <v>744</v>
      </c>
      <c r="D289" s="31" t="s">
        <v>112</v>
      </c>
      <c r="E289" s="31" t="s">
        <v>600</v>
      </c>
      <c r="F289" s="37" t="s">
        <v>744</v>
      </c>
      <c r="G289" s="34">
        <v>5</v>
      </c>
      <c r="H289" s="34">
        <v>5</v>
      </c>
      <c r="I289" s="34">
        <v>5</v>
      </c>
      <c r="J289" s="35">
        <f>IF(MAX(G289:I289)=0,"",MAX(G289:I289))</f>
        <v>5</v>
      </c>
      <c r="K289" s="35">
        <v>1</v>
      </c>
      <c r="L289" s="34">
        <f>IFERROR(J289*K289,"")</f>
        <v>5</v>
      </c>
      <c r="M289" s="42" t="s">
        <v>814</v>
      </c>
      <c r="N289" s="61" t="s">
        <v>673</v>
      </c>
      <c r="O289" s="61" t="s">
        <v>687</v>
      </c>
      <c r="P289" s="37" t="s">
        <v>692</v>
      </c>
      <c r="Q289" s="37" t="s">
        <v>668</v>
      </c>
      <c r="R289" s="62">
        <v>43445</v>
      </c>
    </row>
    <row r="290" spans="1:18" s="7" customFormat="1" ht="60">
      <c r="A290" s="48"/>
      <c r="B290" s="45"/>
      <c r="C290" s="38"/>
      <c r="D290" s="31" t="s">
        <v>47</v>
      </c>
      <c r="E290" s="31" t="s">
        <v>600</v>
      </c>
      <c r="F290" s="38" t="str">
        <f>IF($C290&lt;&gt;"",C290,"")</f>
        <v/>
      </c>
      <c r="G290" s="34">
        <v>1</v>
      </c>
      <c r="H290" s="34">
        <v>1</v>
      </c>
      <c r="I290" s="34">
        <v>5</v>
      </c>
      <c r="J290" s="35">
        <f t="shared" ref="J290:J293" si="117">IF(MAX(G290:I290)=0,"",MAX(G290:I290))</f>
        <v>5</v>
      </c>
      <c r="K290" s="35">
        <v>1</v>
      </c>
      <c r="L290" s="34">
        <f t="shared" ref="L290:L293" si="118">IFERROR(J290*K290,"")</f>
        <v>5</v>
      </c>
      <c r="M290" s="42" t="s">
        <v>815</v>
      </c>
      <c r="N290" s="61" t="s">
        <v>673</v>
      </c>
      <c r="O290" s="61" t="s">
        <v>672</v>
      </c>
      <c r="P290" s="37"/>
      <c r="Q290" s="37" t="s">
        <v>679</v>
      </c>
      <c r="R290" s="61"/>
    </row>
    <row r="291" spans="1:18" s="7" customFormat="1" ht="60">
      <c r="A291" s="48"/>
      <c r="B291" s="45"/>
      <c r="C291" s="38"/>
      <c r="D291" s="31" t="s">
        <v>20</v>
      </c>
      <c r="E291" s="31" t="s">
        <v>816</v>
      </c>
      <c r="F291" s="38" t="str">
        <f>IF($C291&lt;&gt;"",C291,"")</f>
        <v/>
      </c>
      <c r="G291" s="34">
        <v>1</v>
      </c>
      <c r="H291" s="34">
        <v>1</v>
      </c>
      <c r="I291" s="34">
        <v>5</v>
      </c>
      <c r="J291" s="35">
        <f t="shared" si="117"/>
        <v>5</v>
      </c>
      <c r="K291" s="35">
        <v>1</v>
      </c>
      <c r="L291" s="34">
        <f t="shared" si="118"/>
        <v>5</v>
      </c>
      <c r="M291" s="42" t="s">
        <v>817</v>
      </c>
      <c r="N291" s="61" t="s">
        <v>673</v>
      </c>
      <c r="O291" s="60" t="s">
        <v>677</v>
      </c>
      <c r="P291" s="37"/>
      <c r="Q291" s="37" t="s">
        <v>679</v>
      </c>
      <c r="R291" s="60"/>
    </row>
    <row r="292" spans="1:18" s="7" customFormat="1" ht="60">
      <c r="A292" s="48"/>
      <c r="B292" s="45"/>
      <c r="C292" s="38"/>
      <c r="D292" s="31" t="s">
        <v>27</v>
      </c>
      <c r="E292" s="31" t="s">
        <v>80</v>
      </c>
      <c r="F292" s="38" t="str">
        <f t="shared" ref="F292:F293" si="119">IF($C292&lt;&gt;"",C292,"")</f>
        <v/>
      </c>
      <c r="G292" s="34">
        <v>1</v>
      </c>
      <c r="H292" s="34">
        <v>1</v>
      </c>
      <c r="I292" s="34">
        <v>5</v>
      </c>
      <c r="J292" s="35">
        <f t="shared" si="117"/>
        <v>5</v>
      </c>
      <c r="K292" s="35">
        <v>1</v>
      </c>
      <c r="L292" s="34">
        <f t="shared" si="118"/>
        <v>5</v>
      </c>
      <c r="M292" s="42" t="s">
        <v>602</v>
      </c>
      <c r="N292" s="61" t="s">
        <v>676</v>
      </c>
      <c r="O292" s="61" t="s">
        <v>678</v>
      </c>
      <c r="P292" s="37"/>
      <c r="Q292" s="37" t="s">
        <v>680</v>
      </c>
      <c r="R292" s="61"/>
    </row>
    <row r="293" spans="1:18" s="7" customFormat="1">
      <c r="A293" s="49"/>
      <c r="B293" s="46"/>
      <c r="C293" s="39"/>
      <c r="D293" s="31"/>
      <c r="E293" s="31"/>
      <c r="F293" s="39" t="str">
        <f t="shared" si="119"/>
        <v/>
      </c>
      <c r="G293" s="34"/>
      <c r="H293" s="34"/>
      <c r="I293" s="34"/>
      <c r="J293" s="35" t="str">
        <f t="shared" si="117"/>
        <v/>
      </c>
      <c r="K293" s="35"/>
      <c r="L293" s="41" t="str">
        <f t="shared" si="118"/>
        <v/>
      </c>
      <c r="M293" s="42"/>
      <c r="N293" s="60"/>
      <c r="O293" s="60"/>
      <c r="P293" s="37"/>
      <c r="Q293" s="37"/>
      <c r="R293" s="60"/>
    </row>
    <row r="294" spans="1:18" s="7" customFormat="1" ht="102" customHeight="1">
      <c r="A294" s="47">
        <v>41</v>
      </c>
      <c r="B294" s="44" t="s">
        <v>770</v>
      </c>
      <c r="C294" s="37" t="s">
        <v>744</v>
      </c>
      <c r="D294" s="31" t="s">
        <v>112</v>
      </c>
      <c r="E294" s="31" t="s">
        <v>569</v>
      </c>
      <c r="F294" s="37" t="s">
        <v>744</v>
      </c>
      <c r="G294" s="34">
        <v>5</v>
      </c>
      <c r="H294" s="34">
        <v>5</v>
      </c>
      <c r="I294" s="34">
        <v>5</v>
      </c>
      <c r="J294" s="35">
        <f>IF(MAX(G294:I294)=0,"",MAX(G294:I294))</f>
        <v>5</v>
      </c>
      <c r="K294" s="35">
        <v>1</v>
      </c>
      <c r="L294" s="34">
        <f>IFERROR(J294*K294,"")</f>
        <v>5</v>
      </c>
      <c r="M294" s="42" t="s">
        <v>571</v>
      </c>
      <c r="N294" s="61" t="s">
        <v>673</v>
      </c>
      <c r="O294" s="61" t="s">
        <v>665</v>
      </c>
      <c r="P294" s="37" t="s">
        <v>748</v>
      </c>
      <c r="Q294" s="37" t="s">
        <v>679</v>
      </c>
      <c r="R294" s="62">
        <v>43739</v>
      </c>
    </row>
    <row r="295" spans="1:18" s="7" customFormat="1" ht="45">
      <c r="A295" s="48"/>
      <c r="B295" s="45"/>
      <c r="C295" s="38"/>
      <c r="D295" s="31" t="s">
        <v>11</v>
      </c>
      <c r="E295" s="31" t="s">
        <v>67</v>
      </c>
      <c r="F295" s="38" t="str">
        <f>IF($C295&lt;&gt;"",C295,"")</f>
        <v/>
      </c>
      <c r="G295" s="34">
        <v>1</v>
      </c>
      <c r="H295" s="34">
        <v>1</v>
      </c>
      <c r="I295" s="34">
        <v>5</v>
      </c>
      <c r="J295" s="35">
        <f t="shared" ref="J295:J305" si="120">IF(MAX(G295:I295)=0,"",MAX(G295:I295))</f>
        <v>5</v>
      </c>
      <c r="K295" s="35">
        <v>1</v>
      </c>
      <c r="L295" s="34">
        <f t="shared" ref="L295:L305" si="121">IFERROR(J295*K295,"")</f>
        <v>5</v>
      </c>
      <c r="M295" s="42" t="s">
        <v>786</v>
      </c>
      <c r="N295" s="61" t="s">
        <v>673</v>
      </c>
      <c r="O295" s="61" t="s">
        <v>672</v>
      </c>
      <c r="P295" s="37"/>
      <c r="Q295" s="37" t="s">
        <v>679</v>
      </c>
      <c r="R295" s="60"/>
    </row>
    <row r="296" spans="1:18" s="7" customFormat="1" ht="60">
      <c r="A296" s="48"/>
      <c r="B296" s="45"/>
      <c r="C296" s="38"/>
      <c r="D296" s="31" t="s">
        <v>25</v>
      </c>
      <c r="E296" s="31" t="s">
        <v>69</v>
      </c>
      <c r="F296" s="38" t="str">
        <f>IF($C296&lt;&gt;"",C296,"")</f>
        <v/>
      </c>
      <c r="G296" s="34">
        <v>1</v>
      </c>
      <c r="H296" s="34">
        <v>1</v>
      </c>
      <c r="I296" s="34">
        <v>5</v>
      </c>
      <c r="J296" s="35">
        <f t="shared" si="120"/>
        <v>5</v>
      </c>
      <c r="K296" s="35">
        <v>1</v>
      </c>
      <c r="L296" s="34">
        <f t="shared" si="121"/>
        <v>5</v>
      </c>
      <c r="M296" s="42" t="s">
        <v>570</v>
      </c>
      <c r="N296" s="61" t="s">
        <v>673</v>
      </c>
      <c r="O296" s="61" t="s">
        <v>677</v>
      </c>
      <c r="P296" s="37"/>
      <c r="Q296" s="37" t="s">
        <v>679</v>
      </c>
      <c r="R296" s="60"/>
    </row>
    <row r="297" spans="1:18" s="7" customFormat="1" ht="75">
      <c r="A297" s="48"/>
      <c r="B297" s="45"/>
      <c r="C297" s="38"/>
      <c r="D297" s="31" t="s">
        <v>25</v>
      </c>
      <c r="E297" s="31" t="s">
        <v>81</v>
      </c>
      <c r="F297" s="38"/>
      <c r="G297" s="34">
        <v>1</v>
      </c>
      <c r="H297" s="34">
        <v>1</v>
      </c>
      <c r="I297" s="34">
        <v>5</v>
      </c>
      <c r="J297" s="35">
        <f t="shared" si="120"/>
        <v>5</v>
      </c>
      <c r="K297" s="35">
        <v>1</v>
      </c>
      <c r="L297" s="34">
        <f t="shared" si="121"/>
        <v>5</v>
      </c>
      <c r="M297" s="42" t="s">
        <v>787</v>
      </c>
      <c r="N297" s="61" t="s">
        <v>673</v>
      </c>
      <c r="O297" s="61" t="s">
        <v>677</v>
      </c>
      <c r="P297" s="37"/>
      <c r="Q297" s="37" t="s">
        <v>679</v>
      </c>
      <c r="R297" s="60"/>
    </row>
    <row r="298" spans="1:18" s="7" customFormat="1" ht="60">
      <c r="A298" s="48"/>
      <c r="B298" s="45"/>
      <c r="C298" s="38"/>
      <c r="D298" s="31" t="s">
        <v>25</v>
      </c>
      <c r="E298" s="31" t="s">
        <v>90</v>
      </c>
      <c r="F298" s="38"/>
      <c r="G298" s="34">
        <v>1</v>
      </c>
      <c r="H298" s="34">
        <v>1</v>
      </c>
      <c r="I298" s="34">
        <v>5</v>
      </c>
      <c r="J298" s="35">
        <f t="shared" si="120"/>
        <v>5</v>
      </c>
      <c r="K298" s="35">
        <v>1</v>
      </c>
      <c r="L298" s="34">
        <f t="shared" si="121"/>
        <v>5</v>
      </c>
      <c r="M298" s="42" t="s">
        <v>572</v>
      </c>
      <c r="N298" s="61" t="s">
        <v>673</v>
      </c>
      <c r="O298" s="61" t="s">
        <v>677</v>
      </c>
      <c r="P298" s="37"/>
      <c r="Q298" s="37" t="s">
        <v>679</v>
      </c>
      <c r="R298" s="60"/>
    </row>
    <row r="299" spans="1:18" s="7" customFormat="1" ht="60">
      <c r="A299" s="48"/>
      <c r="B299" s="45"/>
      <c r="C299" s="38"/>
      <c r="D299" s="31" t="s">
        <v>25</v>
      </c>
      <c r="E299" s="31" t="s">
        <v>91</v>
      </c>
      <c r="F299" s="38"/>
      <c r="G299" s="34">
        <v>1</v>
      </c>
      <c r="H299" s="34">
        <v>1</v>
      </c>
      <c r="I299" s="34">
        <v>5</v>
      </c>
      <c r="J299" s="35">
        <f t="shared" si="120"/>
        <v>5</v>
      </c>
      <c r="K299" s="35">
        <v>1</v>
      </c>
      <c r="L299" s="34">
        <f t="shared" si="121"/>
        <v>5</v>
      </c>
      <c r="M299" s="42" t="s">
        <v>788</v>
      </c>
      <c r="N299" s="61" t="s">
        <v>673</v>
      </c>
      <c r="O299" s="61" t="s">
        <v>677</v>
      </c>
      <c r="P299" s="37"/>
      <c r="Q299" s="37" t="s">
        <v>679</v>
      </c>
      <c r="R299" s="60"/>
    </row>
    <row r="300" spans="1:18" s="7" customFormat="1" ht="127.5" customHeight="1">
      <c r="A300" s="48"/>
      <c r="B300" s="45"/>
      <c r="C300" s="38"/>
      <c r="D300" s="31" t="s">
        <v>27</v>
      </c>
      <c r="E300" s="31" t="s">
        <v>80</v>
      </c>
      <c r="F300" s="38" t="str">
        <f t="shared" ref="F300:F305" si="122">IF($C300&lt;&gt;"",C300,"")</f>
        <v/>
      </c>
      <c r="G300" s="34">
        <v>1</v>
      </c>
      <c r="H300" s="34">
        <v>1</v>
      </c>
      <c r="I300" s="34">
        <v>5</v>
      </c>
      <c r="J300" s="35">
        <f t="shared" si="120"/>
        <v>5</v>
      </c>
      <c r="K300" s="35">
        <v>1</v>
      </c>
      <c r="L300" s="34">
        <f t="shared" si="121"/>
        <v>5</v>
      </c>
      <c r="M300" s="42" t="s">
        <v>789</v>
      </c>
      <c r="N300" s="61" t="s">
        <v>676</v>
      </c>
      <c r="O300" s="61" t="s">
        <v>678</v>
      </c>
      <c r="P300" s="37"/>
      <c r="Q300" s="37" t="s">
        <v>680</v>
      </c>
      <c r="R300" s="60"/>
    </row>
    <row r="301" spans="1:18" s="7" customFormat="1" ht="72.75" customHeight="1">
      <c r="A301" s="48"/>
      <c r="B301" s="45"/>
      <c r="C301" s="38"/>
      <c r="D301" s="31" t="s">
        <v>32</v>
      </c>
      <c r="E301" s="31" t="s">
        <v>91</v>
      </c>
      <c r="F301" s="38" t="str">
        <f t="shared" si="122"/>
        <v/>
      </c>
      <c r="G301" s="34">
        <v>1</v>
      </c>
      <c r="H301" s="34">
        <v>1</v>
      </c>
      <c r="I301" s="34">
        <v>5</v>
      </c>
      <c r="J301" s="35">
        <f t="shared" si="120"/>
        <v>5</v>
      </c>
      <c r="K301" s="35">
        <v>1</v>
      </c>
      <c r="L301" s="34">
        <f t="shared" si="121"/>
        <v>5</v>
      </c>
      <c r="M301" s="42" t="s">
        <v>576</v>
      </c>
      <c r="N301" s="61" t="s">
        <v>676</v>
      </c>
      <c r="O301" s="61" t="s">
        <v>678</v>
      </c>
      <c r="P301" s="37"/>
      <c r="Q301" s="37" t="s">
        <v>680</v>
      </c>
      <c r="R301" s="61"/>
    </row>
    <row r="302" spans="1:18" s="7" customFormat="1" ht="72.75" customHeight="1">
      <c r="A302" s="48"/>
      <c r="B302" s="45"/>
      <c r="C302" s="38"/>
      <c r="D302" s="31" t="s">
        <v>38</v>
      </c>
      <c r="E302" s="31" t="s">
        <v>68</v>
      </c>
      <c r="F302" s="38" t="str">
        <f t="shared" si="122"/>
        <v/>
      </c>
      <c r="G302" s="34">
        <v>5</v>
      </c>
      <c r="H302" s="34">
        <v>1</v>
      </c>
      <c r="I302" s="34">
        <v>1</v>
      </c>
      <c r="J302" s="35">
        <f t="shared" si="120"/>
        <v>5</v>
      </c>
      <c r="K302" s="35">
        <v>1</v>
      </c>
      <c r="L302" s="41">
        <f t="shared" si="121"/>
        <v>5</v>
      </c>
      <c r="M302" s="42" t="s">
        <v>578</v>
      </c>
      <c r="N302" s="61" t="s">
        <v>673</v>
      </c>
      <c r="O302" s="61" t="s">
        <v>682</v>
      </c>
      <c r="P302" s="37"/>
      <c r="Q302" s="37" t="s">
        <v>679</v>
      </c>
      <c r="R302" s="61"/>
    </row>
    <row r="303" spans="1:18" s="7" customFormat="1" ht="80.25" customHeight="1">
      <c r="A303" s="48"/>
      <c r="B303" s="45"/>
      <c r="C303" s="38"/>
      <c r="D303" s="31" t="s">
        <v>38</v>
      </c>
      <c r="E303" s="31" t="s">
        <v>72</v>
      </c>
      <c r="F303" s="38" t="str">
        <f t="shared" si="122"/>
        <v/>
      </c>
      <c r="G303" s="34">
        <v>5</v>
      </c>
      <c r="H303" s="34">
        <v>5</v>
      </c>
      <c r="I303" s="34">
        <v>5</v>
      </c>
      <c r="J303" s="35">
        <f t="shared" si="120"/>
        <v>5</v>
      </c>
      <c r="K303" s="35">
        <v>1</v>
      </c>
      <c r="L303" s="41">
        <f t="shared" si="121"/>
        <v>5</v>
      </c>
      <c r="M303" s="42" t="s">
        <v>577</v>
      </c>
      <c r="N303" s="61" t="s">
        <v>673</v>
      </c>
      <c r="O303" s="61" t="s">
        <v>683</v>
      </c>
      <c r="P303" s="37"/>
      <c r="Q303" s="37" t="s">
        <v>679</v>
      </c>
      <c r="R303" s="61"/>
    </row>
    <row r="304" spans="1:18" s="7" customFormat="1" ht="60">
      <c r="A304" s="48"/>
      <c r="B304" s="45"/>
      <c r="C304" s="38"/>
      <c r="D304" s="31" t="s">
        <v>21</v>
      </c>
      <c r="E304" s="31" t="s">
        <v>579</v>
      </c>
      <c r="F304" s="38" t="str">
        <f t="shared" si="122"/>
        <v/>
      </c>
      <c r="G304" s="34">
        <v>1</v>
      </c>
      <c r="H304" s="34">
        <v>1</v>
      </c>
      <c r="I304" s="34">
        <v>5</v>
      </c>
      <c r="J304" s="35">
        <f t="shared" si="120"/>
        <v>5</v>
      </c>
      <c r="K304" s="35">
        <v>1</v>
      </c>
      <c r="L304" s="41">
        <f t="shared" si="121"/>
        <v>5</v>
      </c>
      <c r="M304" s="42" t="s">
        <v>580</v>
      </c>
      <c r="N304" s="61" t="s">
        <v>673</v>
      </c>
      <c r="O304" s="60" t="s">
        <v>677</v>
      </c>
      <c r="P304" s="37"/>
      <c r="Q304" s="37" t="s">
        <v>679</v>
      </c>
      <c r="R304" s="60"/>
    </row>
    <row r="305" spans="1:18" s="7" customFormat="1" ht="135">
      <c r="A305" s="49"/>
      <c r="B305" s="46"/>
      <c r="C305" s="39"/>
      <c r="D305" s="31" t="s">
        <v>31</v>
      </c>
      <c r="E305" s="31" t="s">
        <v>581</v>
      </c>
      <c r="F305" s="39" t="str">
        <f t="shared" si="122"/>
        <v/>
      </c>
      <c r="G305" s="34">
        <v>5</v>
      </c>
      <c r="H305" s="34">
        <v>5</v>
      </c>
      <c r="I305" s="34">
        <v>1</v>
      </c>
      <c r="J305" s="35">
        <f t="shared" si="120"/>
        <v>5</v>
      </c>
      <c r="K305" s="35">
        <v>1</v>
      </c>
      <c r="L305" s="41">
        <f t="shared" si="121"/>
        <v>5</v>
      </c>
      <c r="M305" s="42" t="s">
        <v>582</v>
      </c>
      <c r="N305" s="61" t="s">
        <v>673</v>
      </c>
      <c r="O305" s="61" t="s">
        <v>684</v>
      </c>
      <c r="P305" s="37"/>
      <c r="Q305" s="37" t="s">
        <v>679</v>
      </c>
      <c r="R305" s="61"/>
    </row>
    <row r="306" spans="1:18" s="7" customFormat="1" ht="179.25" customHeight="1">
      <c r="A306" s="47">
        <v>2</v>
      </c>
      <c r="B306" s="44" t="s">
        <v>767</v>
      </c>
      <c r="C306" s="37" t="s">
        <v>744</v>
      </c>
      <c r="D306" s="31" t="s">
        <v>112</v>
      </c>
      <c r="E306" s="31" t="s">
        <v>790</v>
      </c>
      <c r="F306" s="37" t="s">
        <v>744</v>
      </c>
      <c r="G306" s="34">
        <v>5</v>
      </c>
      <c r="H306" s="34">
        <v>5</v>
      </c>
      <c r="I306" s="34">
        <v>5</v>
      </c>
      <c r="J306" s="35">
        <f>IF(MAX(G306:I306)=0,"",MAX(G306:I306))</f>
        <v>5</v>
      </c>
      <c r="K306" s="35">
        <v>1</v>
      </c>
      <c r="L306" s="34">
        <f>IFERROR(J306*K306,"")</f>
        <v>5</v>
      </c>
      <c r="M306" s="42" t="s">
        <v>783</v>
      </c>
      <c r="N306" s="61" t="s">
        <v>673</v>
      </c>
      <c r="O306" s="61" t="s">
        <v>685</v>
      </c>
      <c r="P306" s="37" t="s">
        <v>748</v>
      </c>
      <c r="Q306" s="37" t="s">
        <v>679</v>
      </c>
      <c r="R306" s="61"/>
    </row>
    <row r="307" spans="1:18" s="7" customFormat="1" ht="60">
      <c r="A307" s="48"/>
      <c r="B307" s="45"/>
      <c r="C307" s="38"/>
      <c r="D307" s="31" t="s">
        <v>25</v>
      </c>
      <c r="E307" s="31" t="s">
        <v>69</v>
      </c>
      <c r="F307" s="38" t="str">
        <f>IF($C307&lt;&gt;"",C307,"")</f>
        <v/>
      </c>
      <c r="G307" s="34">
        <v>1</v>
      </c>
      <c r="H307" s="34">
        <v>1</v>
      </c>
      <c r="I307" s="34">
        <v>5</v>
      </c>
      <c r="J307" s="35">
        <f t="shared" ref="J307:J314" si="123">IF(MAX(G307:I307)=0,"",MAX(G307:I307))</f>
        <v>5</v>
      </c>
      <c r="K307" s="35">
        <v>1</v>
      </c>
      <c r="L307" s="34">
        <f t="shared" ref="L307:L314" si="124">IFERROR(J307*K307,"")</f>
        <v>5</v>
      </c>
      <c r="M307" s="42" t="s">
        <v>784</v>
      </c>
      <c r="N307" s="61" t="s">
        <v>673</v>
      </c>
      <c r="O307" s="61" t="s">
        <v>677</v>
      </c>
      <c r="P307" s="37"/>
      <c r="Q307" s="37" t="s">
        <v>679</v>
      </c>
      <c r="R307" s="61"/>
    </row>
    <row r="308" spans="1:18" s="7" customFormat="1" ht="60">
      <c r="A308" s="48"/>
      <c r="B308" s="45"/>
      <c r="C308" s="38"/>
      <c r="D308" s="31" t="s">
        <v>25</v>
      </c>
      <c r="E308" s="31" t="s">
        <v>81</v>
      </c>
      <c r="F308" s="38"/>
      <c r="G308" s="34">
        <v>1</v>
      </c>
      <c r="H308" s="34">
        <v>1</v>
      </c>
      <c r="I308" s="34">
        <v>5</v>
      </c>
      <c r="J308" s="35">
        <f t="shared" si="123"/>
        <v>5</v>
      </c>
      <c r="K308" s="35">
        <v>1</v>
      </c>
      <c r="L308" s="34">
        <f t="shared" si="124"/>
        <v>5</v>
      </c>
      <c r="M308" s="42" t="s">
        <v>785</v>
      </c>
      <c r="N308" s="61" t="s">
        <v>673</v>
      </c>
      <c r="O308" s="61" t="s">
        <v>677</v>
      </c>
      <c r="P308" s="37"/>
      <c r="Q308" s="37" t="s">
        <v>679</v>
      </c>
      <c r="R308" s="61"/>
    </row>
    <row r="309" spans="1:18" s="7" customFormat="1" ht="60">
      <c r="A309" s="48"/>
      <c r="B309" s="45"/>
      <c r="C309" s="38"/>
      <c r="D309" s="31" t="s">
        <v>25</v>
      </c>
      <c r="E309" s="31" t="s">
        <v>90</v>
      </c>
      <c r="F309" s="38"/>
      <c r="G309" s="34">
        <v>1</v>
      </c>
      <c r="H309" s="34">
        <v>1</v>
      </c>
      <c r="I309" s="34">
        <v>5</v>
      </c>
      <c r="J309" s="35">
        <f t="shared" si="123"/>
        <v>5</v>
      </c>
      <c r="K309" s="35">
        <v>1</v>
      </c>
      <c r="L309" s="34">
        <f t="shared" si="124"/>
        <v>5</v>
      </c>
      <c r="M309" s="42" t="s">
        <v>584</v>
      </c>
      <c r="N309" s="61" t="s">
        <v>673</v>
      </c>
      <c r="O309" s="61" t="s">
        <v>677</v>
      </c>
      <c r="P309" s="37"/>
      <c r="Q309" s="37" t="s">
        <v>679</v>
      </c>
      <c r="R309" s="61"/>
    </row>
    <row r="310" spans="1:18" s="7" customFormat="1" ht="75">
      <c r="A310" s="48"/>
      <c r="B310" s="45"/>
      <c r="C310" s="38"/>
      <c r="D310" s="31" t="s">
        <v>25</v>
      </c>
      <c r="E310" s="31" t="s">
        <v>91</v>
      </c>
      <c r="F310" s="38"/>
      <c r="G310" s="34">
        <v>1</v>
      </c>
      <c r="H310" s="34">
        <v>1</v>
      </c>
      <c r="I310" s="34">
        <v>5</v>
      </c>
      <c r="J310" s="35">
        <f t="shared" si="123"/>
        <v>5</v>
      </c>
      <c r="K310" s="35">
        <v>1</v>
      </c>
      <c r="L310" s="34">
        <f t="shared" si="124"/>
        <v>5</v>
      </c>
      <c r="M310" s="42" t="s">
        <v>791</v>
      </c>
      <c r="N310" s="61" t="s">
        <v>673</v>
      </c>
      <c r="O310" s="61" t="s">
        <v>677</v>
      </c>
      <c r="P310" s="37"/>
      <c r="Q310" s="37" t="s">
        <v>679</v>
      </c>
      <c r="R310" s="61"/>
    </row>
    <row r="311" spans="1:18" s="7" customFormat="1" ht="120">
      <c r="A311" s="48"/>
      <c r="B311" s="45"/>
      <c r="C311" s="38"/>
      <c r="D311" s="31" t="s">
        <v>27</v>
      </c>
      <c r="E311" s="31" t="s">
        <v>80</v>
      </c>
      <c r="F311" s="38" t="str">
        <f t="shared" ref="F311:F313" si="125">IF($C311&lt;&gt;"",C311,"")</f>
        <v/>
      </c>
      <c r="G311" s="34">
        <v>1</v>
      </c>
      <c r="H311" s="34">
        <v>1</v>
      </c>
      <c r="I311" s="34">
        <v>5</v>
      </c>
      <c r="J311" s="35">
        <f t="shared" si="123"/>
        <v>5</v>
      </c>
      <c r="K311" s="35">
        <v>1</v>
      </c>
      <c r="L311" s="34">
        <f t="shared" si="124"/>
        <v>5</v>
      </c>
      <c r="M311" s="42" t="s">
        <v>792</v>
      </c>
      <c r="N311" s="61" t="s">
        <v>676</v>
      </c>
      <c r="O311" s="61" t="s">
        <v>678</v>
      </c>
      <c r="P311" s="37"/>
      <c r="Q311" s="37" t="s">
        <v>680</v>
      </c>
      <c r="R311" s="61"/>
    </row>
    <row r="312" spans="1:18" s="7" customFormat="1" ht="60">
      <c r="A312" s="48"/>
      <c r="B312" s="45"/>
      <c r="C312" s="38"/>
      <c r="D312" s="31" t="s">
        <v>32</v>
      </c>
      <c r="E312" s="31" t="s">
        <v>91</v>
      </c>
      <c r="F312" s="38" t="str">
        <f t="shared" si="125"/>
        <v/>
      </c>
      <c r="G312" s="34">
        <v>1</v>
      </c>
      <c r="H312" s="34">
        <v>1</v>
      </c>
      <c r="I312" s="34">
        <v>5</v>
      </c>
      <c r="J312" s="35">
        <f t="shared" si="123"/>
        <v>5</v>
      </c>
      <c r="K312" s="35">
        <v>1</v>
      </c>
      <c r="L312" s="34">
        <f t="shared" si="124"/>
        <v>5</v>
      </c>
      <c r="M312" s="42" t="s">
        <v>576</v>
      </c>
      <c r="N312" s="61" t="s">
        <v>676</v>
      </c>
      <c r="O312" s="61" t="s">
        <v>678</v>
      </c>
      <c r="P312" s="37"/>
      <c r="Q312" s="37" t="s">
        <v>680</v>
      </c>
      <c r="R312" s="60"/>
    </row>
    <row r="313" spans="1:18" s="7" customFormat="1" ht="75">
      <c r="A313" s="48"/>
      <c r="B313" s="45"/>
      <c r="C313" s="38"/>
      <c r="D313" s="31" t="s">
        <v>38</v>
      </c>
      <c r="E313" s="31" t="s">
        <v>72</v>
      </c>
      <c r="F313" s="38" t="str">
        <f t="shared" si="125"/>
        <v/>
      </c>
      <c r="G313" s="34">
        <v>5</v>
      </c>
      <c r="H313" s="34">
        <v>5</v>
      </c>
      <c r="I313" s="34">
        <v>5</v>
      </c>
      <c r="J313" s="35">
        <f t="shared" si="123"/>
        <v>5</v>
      </c>
      <c r="K313" s="35">
        <v>1</v>
      </c>
      <c r="L313" s="41">
        <f t="shared" si="124"/>
        <v>5</v>
      </c>
      <c r="M313" s="42" t="s">
        <v>577</v>
      </c>
      <c r="N313" s="61" t="s">
        <v>673</v>
      </c>
      <c r="O313" s="61" t="s">
        <v>682</v>
      </c>
      <c r="P313" s="37"/>
      <c r="Q313" s="37" t="s">
        <v>679</v>
      </c>
      <c r="R313" s="61"/>
    </row>
    <row r="314" spans="1:18" s="7" customFormat="1" ht="75">
      <c r="A314" s="48"/>
      <c r="B314" s="45"/>
      <c r="C314" s="38"/>
      <c r="D314" s="37" t="s">
        <v>11</v>
      </c>
      <c r="E314" s="37" t="s">
        <v>67</v>
      </c>
      <c r="F314" s="38"/>
      <c r="G314" s="47">
        <v>1</v>
      </c>
      <c r="H314" s="47">
        <v>1</v>
      </c>
      <c r="I314" s="47">
        <v>5</v>
      </c>
      <c r="J314" s="71">
        <f t="shared" si="123"/>
        <v>5</v>
      </c>
      <c r="K314" s="71">
        <v>1</v>
      </c>
      <c r="L314" s="72">
        <f t="shared" si="124"/>
        <v>5</v>
      </c>
      <c r="M314" s="73" t="s">
        <v>594</v>
      </c>
      <c r="N314" s="74" t="s">
        <v>673</v>
      </c>
      <c r="O314" s="74" t="s">
        <v>672</v>
      </c>
      <c r="P314" s="37"/>
      <c r="Q314" s="37" t="s">
        <v>679</v>
      </c>
      <c r="R314" s="74"/>
    </row>
    <row r="315" spans="1:18" s="7" customFormat="1" ht="102" customHeight="1">
      <c r="A315" s="47">
        <v>42</v>
      </c>
      <c r="B315" s="44" t="s">
        <v>775</v>
      </c>
      <c r="C315" s="37" t="s">
        <v>744</v>
      </c>
      <c r="D315" s="31" t="s">
        <v>112</v>
      </c>
      <c r="E315" s="31" t="s">
        <v>569</v>
      </c>
      <c r="F315" s="37" t="s">
        <v>744</v>
      </c>
      <c r="G315" s="34">
        <v>5</v>
      </c>
      <c r="H315" s="34">
        <v>5</v>
      </c>
      <c r="I315" s="34">
        <v>5</v>
      </c>
      <c r="J315" s="35">
        <f>IF(MAX(G315:I315)=0,"",MAX(G315:I315))</f>
        <v>5</v>
      </c>
      <c r="K315" s="35">
        <v>1</v>
      </c>
      <c r="L315" s="34">
        <f>IFERROR(J315*K315,"")</f>
        <v>5</v>
      </c>
      <c r="M315" s="42" t="s">
        <v>818</v>
      </c>
      <c r="N315" s="61" t="s">
        <v>673</v>
      </c>
      <c r="O315" s="61" t="s">
        <v>665</v>
      </c>
      <c r="P315" s="37" t="s">
        <v>748</v>
      </c>
      <c r="Q315" s="37" t="s">
        <v>679</v>
      </c>
      <c r="R315" s="62">
        <v>43739</v>
      </c>
    </row>
    <row r="316" spans="1:18" s="7" customFormat="1" ht="45">
      <c r="A316" s="48"/>
      <c r="B316" s="45"/>
      <c r="C316" s="38"/>
      <c r="D316" s="31" t="s">
        <v>11</v>
      </c>
      <c r="E316" s="31" t="s">
        <v>67</v>
      </c>
      <c r="F316" s="38" t="str">
        <f>IF($C316&lt;&gt;"",C316,"")</f>
        <v/>
      </c>
      <c r="G316" s="34">
        <v>1</v>
      </c>
      <c r="H316" s="34">
        <v>1</v>
      </c>
      <c r="I316" s="34">
        <v>5</v>
      </c>
      <c r="J316" s="35">
        <f t="shared" ref="J316:J318" si="126">IF(MAX(G316:I316)=0,"",MAX(G316:I316))</f>
        <v>5</v>
      </c>
      <c r="K316" s="35">
        <v>1</v>
      </c>
      <c r="L316" s="34">
        <f t="shared" ref="L316:L318" si="127">IFERROR(J316*K316,"")</f>
        <v>5</v>
      </c>
      <c r="M316" s="42" t="s">
        <v>786</v>
      </c>
      <c r="N316" s="61" t="s">
        <v>673</v>
      </c>
      <c r="O316" s="61" t="s">
        <v>672</v>
      </c>
      <c r="P316" s="37"/>
      <c r="Q316" s="37" t="s">
        <v>679</v>
      </c>
      <c r="R316" s="60"/>
    </row>
    <row r="317" spans="1:18" s="7" customFormat="1" ht="72.75" customHeight="1">
      <c r="A317" s="48"/>
      <c r="B317" s="45"/>
      <c r="C317" s="38"/>
      <c r="D317" s="31" t="s">
        <v>38</v>
      </c>
      <c r="E317" s="31" t="s">
        <v>68</v>
      </c>
      <c r="F317" s="38" t="str">
        <f t="shared" ref="F317:F318" si="128">IF($C317&lt;&gt;"",C317,"")</f>
        <v/>
      </c>
      <c r="G317" s="34">
        <v>5</v>
      </c>
      <c r="H317" s="34">
        <v>1</v>
      </c>
      <c r="I317" s="34">
        <v>1</v>
      </c>
      <c r="J317" s="35">
        <f t="shared" si="126"/>
        <v>5</v>
      </c>
      <c r="K317" s="35">
        <v>1</v>
      </c>
      <c r="L317" s="41">
        <f t="shared" si="127"/>
        <v>5</v>
      </c>
      <c r="M317" s="42" t="s">
        <v>578</v>
      </c>
      <c r="N317" s="61" t="s">
        <v>673</v>
      </c>
      <c r="O317" s="61" t="s">
        <v>682</v>
      </c>
      <c r="P317" s="37"/>
      <c r="Q317" s="37" t="s">
        <v>679</v>
      </c>
      <c r="R317" s="61"/>
    </row>
    <row r="318" spans="1:18" s="7" customFormat="1" ht="80.25" customHeight="1">
      <c r="A318" s="48"/>
      <c r="B318" s="45"/>
      <c r="C318" s="38"/>
      <c r="D318" s="31" t="s">
        <v>38</v>
      </c>
      <c r="E318" s="31" t="s">
        <v>72</v>
      </c>
      <c r="F318" s="38" t="str">
        <f t="shared" si="128"/>
        <v/>
      </c>
      <c r="G318" s="34">
        <v>5</v>
      </c>
      <c r="H318" s="34">
        <v>5</v>
      </c>
      <c r="I318" s="34">
        <v>5</v>
      </c>
      <c r="J318" s="35">
        <f t="shared" si="126"/>
        <v>5</v>
      </c>
      <c r="K318" s="35">
        <v>1</v>
      </c>
      <c r="L318" s="41">
        <f t="shared" si="127"/>
        <v>5</v>
      </c>
      <c r="M318" s="42" t="s">
        <v>577</v>
      </c>
      <c r="N318" s="61" t="s">
        <v>673</v>
      </c>
      <c r="O318" s="61" t="s">
        <v>683</v>
      </c>
      <c r="P318" s="37"/>
      <c r="Q318" s="37" t="s">
        <v>679</v>
      </c>
      <c r="R318" s="61"/>
    </row>
    <row r="319" spans="1:18" s="7" customFormat="1" ht="179.25" customHeight="1">
      <c r="A319" s="47">
        <v>43</v>
      </c>
      <c r="B319" s="44" t="s">
        <v>774</v>
      </c>
      <c r="C319" s="37" t="s">
        <v>744</v>
      </c>
      <c r="D319" s="31" t="s">
        <v>112</v>
      </c>
      <c r="E319" s="31" t="s">
        <v>790</v>
      </c>
      <c r="F319" s="37" t="s">
        <v>744</v>
      </c>
      <c r="G319" s="34">
        <v>5</v>
      </c>
      <c r="H319" s="34">
        <v>5</v>
      </c>
      <c r="I319" s="34">
        <v>5</v>
      </c>
      <c r="J319" s="35">
        <f>IF(MAX(G319:I319)=0,"",MAX(G319:I319))</f>
        <v>5</v>
      </c>
      <c r="K319" s="35">
        <v>1</v>
      </c>
      <c r="L319" s="34">
        <f>IFERROR(J319*K319,"")</f>
        <v>5</v>
      </c>
      <c r="M319" s="42" t="s">
        <v>783</v>
      </c>
      <c r="N319" s="61" t="s">
        <v>673</v>
      </c>
      <c r="O319" s="61" t="s">
        <v>685</v>
      </c>
      <c r="P319" s="37" t="s">
        <v>748</v>
      </c>
      <c r="Q319" s="37" t="s">
        <v>679</v>
      </c>
      <c r="R319" s="61"/>
    </row>
    <row r="320" spans="1:18" s="7" customFormat="1" ht="75">
      <c r="A320" s="48"/>
      <c r="B320" s="45"/>
      <c r="C320" s="38"/>
      <c r="D320" s="31" t="s">
        <v>38</v>
      </c>
      <c r="E320" s="31" t="s">
        <v>72</v>
      </c>
      <c r="F320" s="38" t="str">
        <f t="shared" ref="F320" si="129">IF($C320&lt;&gt;"",C320,"")</f>
        <v/>
      </c>
      <c r="G320" s="34">
        <v>5</v>
      </c>
      <c r="H320" s="34">
        <v>5</v>
      </c>
      <c r="I320" s="34">
        <v>5</v>
      </c>
      <c r="J320" s="35">
        <f t="shared" ref="J320:J321" si="130">IF(MAX(G320:I320)=0,"",MAX(G320:I320))</f>
        <v>5</v>
      </c>
      <c r="K320" s="35">
        <v>1</v>
      </c>
      <c r="L320" s="41">
        <f t="shared" ref="L320:L321" si="131">IFERROR(J320*K320,"")</f>
        <v>5</v>
      </c>
      <c r="M320" s="42" t="s">
        <v>577</v>
      </c>
      <c r="N320" s="61" t="s">
        <v>673</v>
      </c>
      <c r="O320" s="61" t="s">
        <v>682</v>
      </c>
      <c r="P320" s="37"/>
      <c r="Q320" s="37" t="s">
        <v>679</v>
      </c>
      <c r="R320" s="61"/>
    </row>
    <row r="321" spans="1:18" s="7" customFormat="1" ht="75">
      <c r="A321" s="48"/>
      <c r="B321" s="45"/>
      <c r="C321" s="38"/>
      <c r="D321" s="37" t="s">
        <v>11</v>
      </c>
      <c r="E321" s="37" t="s">
        <v>67</v>
      </c>
      <c r="F321" s="38"/>
      <c r="G321" s="47">
        <v>1</v>
      </c>
      <c r="H321" s="47">
        <v>1</v>
      </c>
      <c r="I321" s="47">
        <v>5</v>
      </c>
      <c r="J321" s="71">
        <f t="shared" si="130"/>
        <v>5</v>
      </c>
      <c r="K321" s="71">
        <v>1</v>
      </c>
      <c r="L321" s="72">
        <f t="shared" si="131"/>
        <v>5</v>
      </c>
      <c r="M321" s="73" t="s">
        <v>594</v>
      </c>
      <c r="N321" s="74" t="s">
        <v>673</v>
      </c>
      <c r="O321" s="74" t="s">
        <v>672</v>
      </c>
      <c r="P321" s="37"/>
      <c r="Q321" s="37" t="s">
        <v>679</v>
      </c>
      <c r="R321" s="74"/>
    </row>
    <row r="322" spans="1:18" s="7" customFormat="1" ht="179.25" customHeight="1">
      <c r="A322" s="47">
        <v>44</v>
      </c>
      <c r="B322" s="44" t="s">
        <v>772</v>
      </c>
      <c r="C322" s="37" t="s">
        <v>744</v>
      </c>
      <c r="D322" s="31" t="s">
        <v>112</v>
      </c>
      <c r="E322" s="31" t="s">
        <v>790</v>
      </c>
      <c r="F322" s="37" t="s">
        <v>744</v>
      </c>
      <c r="G322" s="34">
        <v>5</v>
      </c>
      <c r="H322" s="34">
        <v>5</v>
      </c>
      <c r="I322" s="34">
        <v>5</v>
      </c>
      <c r="J322" s="35">
        <f>IF(MAX(G322:I322)=0,"",MAX(G322:I322))</f>
        <v>5</v>
      </c>
      <c r="K322" s="35">
        <v>1</v>
      </c>
      <c r="L322" s="34">
        <f>IFERROR(J322*K322,"")</f>
        <v>5</v>
      </c>
      <c r="M322" s="42" t="s">
        <v>783</v>
      </c>
      <c r="N322" s="61" t="s">
        <v>673</v>
      </c>
      <c r="O322" s="61" t="s">
        <v>685</v>
      </c>
      <c r="P322" s="37" t="s">
        <v>748</v>
      </c>
      <c r="Q322" s="37" t="s">
        <v>679</v>
      </c>
      <c r="R322" s="61"/>
    </row>
    <row r="323" spans="1:18" s="7" customFormat="1" ht="30">
      <c r="A323" s="48"/>
      <c r="B323" s="45"/>
      <c r="C323" s="38"/>
      <c r="D323" s="31" t="s">
        <v>36</v>
      </c>
      <c r="E323" s="37" t="s">
        <v>67</v>
      </c>
      <c r="F323" s="38" t="str">
        <f t="shared" ref="F323" si="132">IF($C323&lt;&gt;"",C323,"")</f>
        <v/>
      </c>
      <c r="G323" s="34">
        <v>5</v>
      </c>
      <c r="H323" s="34">
        <v>5</v>
      </c>
      <c r="I323" s="34">
        <v>5</v>
      </c>
      <c r="J323" s="35">
        <f t="shared" ref="J323:J324" si="133">IF(MAX(G323:I323)=0,"",MAX(G323:I323))</f>
        <v>5</v>
      </c>
      <c r="K323" s="35">
        <v>1</v>
      </c>
      <c r="L323" s="41">
        <f t="shared" ref="L323:L324" si="134">IFERROR(J323*K323,"")</f>
        <v>5</v>
      </c>
      <c r="M323" s="73" t="s">
        <v>819</v>
      </c>
      <c r="N323" s="61" t="s">
        <v>673</v>
      </c>
      <c r="O323" s="61" t="s">
        <v>682</v>
      </c>
      <c r="P323" s="37"/>
      <c r="Q323" s="37" t="s">
        <v>679</v>
      </c>
      <c r="R323" s="61"/>
    </row>
    <row r="324" spans="1:18" s="7" customFormat="1" ht="30">
      <c r="A324" s="48"/>
      <c r="B324" s="45"/>
      <c r="C324" s="38"/>
      <c r="D324" s="37" t="s">
        <v>11</v>
      </c>
      <c r="E324" s="37" t="s">
        <v>67</v>
      </c>
      <c r="F324" s="38"/>
      <c r="G324" s="47">
        <v>1</v>
      </c>
      <c r="H324" s="47">
        <v>1</v>
      </c>
      <c r="I324" s="47">
        <v>5</v>
      </c>
      <c r="J324" s="71">
        <f t="shared" si="133"/>
        <v>5</v>
      </c>
      <c r="K324" s="71">
        <v>1</v>
      </c>
      <c r="L324" s="72">
        <f t="shared" si="134"/>
        <v>5</v>
      </c>
      <c r="M324" s="73" t="s">
        <v>819</v>
      </c>
      <c r="N324" s="74" t="s">
        <v>673</v>
      </c>
      <c r="O324" s="74" t="s">
        <v>672</v>
      </c>
      <c r="P324" s="37"/>
      <c r="Q324" s="37" t="s">
        <v>679</v>
      </c>
      <c r="R324" s="74"/>
    </row>
    <row r="325" spans="1:18" s="7" customFormat="1" ht="179.25" customHeight="1">
      <c r="A325" s="47">
        <v>45</v>
      </c>
      <c r="B325" s="44" t="s">
        <v>777</v>
      </c>
      <c r="C325" s="37" t="s">
        <v>744</v>
      </c>
      <c r="D325" s="31" t="s">
        <v>112</v>
      </c>
      <c r="E325" s="31" t="s">
        <v>790</v>
      </c>
      <c r="F325" s="37" t="s">
        <v>744</v>
      </c>
      <c r="G325" s="34">
        <v>5</v>
      </c>
      <c r="H325" s="34">
        <v>5</v>
      </c>
      <c r="I325" s="34">
        <v>5</v>
      </c>
      <c r="J325" s="35">
        <f>IF(MAX(G325:I325)=0,"",MAX(G325:I325))</f>
        <v>5</v>
      </c>
      <c r="K325" s="35">
        <v>1</v>
      </c>
      <c r="L325" s="34">
        <f>IFERROR(J325*K325,"")</f>
        <v>5</v>
      </c>
      <c r="M325" s="42" t="s">
        <v>783</v>
      </c>
      <c r="N325" s="61" t="s">
        <v>673</v>
      </c>
      <c r="O325" s="61" t="s">
        <v>685</v>
      </c>
      <c r="P325" s="37" t="s">
        <v>748</v>
      </c>
      <c r="Q325" s="37" t="s">
        <v>679</v>
      </c>
      <c r="R325" s="61"/>
    </row>
    <row r="326" spans="1:18" s="7" customFormat="1" ht="30">
      <c r="A326" s="48"/>
      <c r="B326" s="45"/>
      <c r="C326" s="38"/>
      <c r="D326" s="31" t="s">
        <v>36</v>
      </c>
      <c r="E326" s="37" t="s">
        <v>67</v>
      </c>
      <c r="F326" s="38" t="str">
        <f t="shared" ref="F326" si="135">IF($C326&lt;&gt;"",C326,"")</f>
        <v/>
      </c>
      <c r="G326" s="34">
        <v>5</v>
      </c>
      <c r="H326" s="34">
        <v>5</v>
      </c>
      <c r="I326" s="34">
        <v>5</v>
      </c>
      <c r="J326" s="35">
        <f t="shared" ref="J326:J327" si="136">IF(MAX(G326:I326)=0,"",MAX(G326:I326))</f>
        <v>5</v>
      </c>
      <c r="K326" s="35">
        <v>1</v>
      </c>
      <c r="L326" s="41">
        <f t="shared" ref="L326:L327" si="137">IFERROR(J326*K326,"")</f>
        <v>5</v>
      </c>
      <c r="M326" s="73" t="s">
        <v>819</v>
      </c>
      <c r="N326" s="61" t="s">
        <v>673</v>
      </c>
      <c r="O326" s="61" t="s">
        <v>682</v>
      </c>
      <c r="P326" s="37"/>
      <c r="Q326" s="37" t="s">
        <v>679</v>
      </c>
      <c r="R326" s="61"/>
    </row>
    <row r="327" spans="1:18" s="7" customFormat="1" ht="30">
      <c r="A327" s="48"/>
      <c r="B327" s="45"/>
      <c r="C327" s="38"/>
      <c r="D327" s="37" t="s">
        <v>11</v>
      </c>
      <c r="E327" s="37" t="s">
        <v>67</v>
      </c>
      <c r="F327" s="38"/>
      <c r="G327" s="47">
        <v>1</v>
      </c>
      <c r="H327" s="47">
        <v>1</v>
      </c>
      <c r="I327" s="47">
        <v>5</v>
      </c>
      <c r="J327" s="71">
        <f t="shared" si="136"/>
        <v>5</v>
      </c>
      <c r="K327" s="71">
        <v>1</v>
      </c>
      <c r="L327" s="72">
        <f t="shared" si="137"/>
        <v>5</v>
      </c>
      <c r="M327" s="73" t="s">
        <v>819</v>
      </c>
      <c r="N327" s="74" t="s">
        <v>673</v>
      </c>
      <c r="O327" s="74" t="s">
        <v>672</v>
      </c>
      <c r="P327" s="37"/>
      <c r="Q327" s="37" t="s">
        <v>679</v>
      </c>
      <c r="R327" s="74"/>
    </row>
    <row r="328" spans="1:18" s="7" customFormat="1" ht="179.25" customHeight="1">
      <c r="A328" s="47">
        <v>46</v>
      </c>
      <c r="B328" s="44" t="s">
        <v>779</v>
      </c>
      <c r="C328" s="37" t="s">
        <v>744</v>
      </c>
      <c r="D328" s="31" t="s">
        <v>112</v>
      </c>
      <c r="E328" s="31" t="s">
        <v>790</v>
      </c>
      <c r="F328" s="37" t="s">
        <v>744</v>
      </c>
      <c r="G328" s="34">
        <v>5</v>
      </c>
      <c r="H328" s="34">
        <v>5</v>
      </c>
      <c r="I328" s="34">
        <v>5</v>
      </c>
      <c r="J328" s="35">
        <f>IF(MAX(G328:I328)=0,"",MAX(G328:I328))</f>
        <v>5</v>
      </c>
      <c r="K328" s="35">
        <v>1</v>
      </c>
      <c r="L328" s="34">
        <f>IFERROR(J328*K328,"")</f>
        <v>5</v>
      </c>
      <c r="M328" s="42" t="s">
        <v>783</v>
      </c>
      <c r="N328" s="61" t="s">
        <v>673</v>
      </c>
      <c r="O328" s="61" t="s">
        <v>685</v>
      </c>
      <c r="P328" s="37" t="s">
        <v>748</v>
      </c>
      <c r="Q328" s="37" t="s">
        <v>679</v>
      </c>
      <c r="R328" s="61"/>
    </row>
    <row r="329" spans="1:18" s="7" customFormat="1" ht="30">
      <c r="A329" s="48"/>
      <c r="B329" s="45"/>
      <c r="C329" s="38"/>
      <c r="D329" s="31" t="s">
        <v>36</v>
      </c>
      <c r="E329" s="37" t="s">
        <v>67</v>
      </c>
      <c r="F329" s="38" t="str">
        <f t="shared" ref="F329" si="138">IF($C329&lt;&gt;"",C329,"")</f>
        <v/>
      </c>
      <c r="G329" s="34">
        <v>5</v>
      </c>
      <c r="H329" s="34">
        <v>5</v>
      </c>
      <c r="I329" s="34">
        <v>5</v>
      </c>
      <c r="J329" s="35">
        <f t="shared" ref="J329:J330" si="139">IF(MAX(G329:I329)=0,"",MAX(G329:I329))</f>
        <v>5</v>
      </c>
      <c r="K329" s="35">
        <v>1</v>
      </c>
      <c r="L329" s="41">
        <f t="shared" ref="L329:L330" si="140">IFERROR(J329*K329,"")</f>
        <v>5</v>
      </c>
      <c r="M329" s="73" t="s">
        <v>819</v>
      </c>
      <c r="N329" s="61" t="s">
        <v>673</v>
      </c>
      <c r="O329" s="61" t="s">
        <v>682</v>
      </c>
      <c r="P329" s="37"/>
      <c r="Q329" s="37" t="s">
        <v>679</v>
      </c>
      <c r="R329" s="61"/>
    </row>
    <row r="330" spans="1:18" s="7" customFormat="1" ht="30">
      <c r="A330" s="48"/>
      <c r="B330" s="45"/>
      <c r="C330" s="38"/>
      <c r="D330" s="37" t="s">
        <v>11</v>
      </c>
      <c r="E330" s="37" t="s">
        <v>67</v>
      </c>
      <c r="F330" s="38"/>
      <c r="G330" s="47">
        <v>1</v>
      </c>
      <c r="H330" s="47">
        <v>1</v>
      </c>
      <c r="I330" s="47">
        <v>5</v>
      </c>
      <c r="J330" s="71">
        <f t="shared" si="139"/>
        <v>5</v>
      </c>
      <c r="K330" s="71">
        <v>1</v>
      </c>
      <c r="L330" s="72">
        <f t="shared" si="140"/>
        <v>5</v>
      </c>
      <c r="M330" s="73" t="s">
        <v>819</v>
      </c>
      <c r="N330" s="74" t="s">
        <v>673</v>
      </c>
      <c r="O330" s="74" t="s">
        <v>672</v>
      </c>
      <c r="P330" s="37"/>
      <c r="Q330" s="37" t="s">
        <v>679</v>
      </c>
      <c r="R330" s="74"/>
    </row>
    <row r="331" spans="1:18" s="7" customFormat="1" ht="179.25" customHeight="1">
      <c r="A331" s="47">
        <v>47</v>
      </c>
      <c r="B331" s="44" t="s">
        <v>757</v>
      </c>
      <c r="C331" s="37" t="s">
        <v>744</v>
      </c>
      <c r="D331" s="31" t="s">
        <v>112</v>
      </c>
      <c r="E331" s="31" t="s">
        <v>790</v>
      </c>
      <c r="F331" s="37" t="s">
        <v>744</v>
      </c>
      <c r="G331" s="34">
        <v>5</v>
      </c>
      <c r="H331" s="34">
        <v>5</v>
      </c>
      <c r="I331" s="34">
        <v>5</v>
      </c>
      <c r="J331" s="35">
        <f>IF(MAX(G331:I331)=0,"",MAX(G331:I331))</f>
        <v>5</v>
      </c>
      <c r="K331" s="35">
        <v>1</v>
      </c>
      <c r="L331" s="34">
        <f>IFERROR(J331*K331,"")</f>
        <v>5</v>
      </c>
      <c r="M331" s="42" t="s">
        <v>783</v>
      </c>
      <c r="N331" s="61" t="s">
        <v>673</v>
      </c>
      <c r="O331" s="61" t="s">
        <v>685</v>
      </c>
      <c r="P331" s="37" t="s">
        <v>748</v>
      </c>
      <c r="Q331" s="37" t="s">
        <v>679</v>
      </c>
      <c r="R331" s="61"/>
    </row>
    <row r="332" spans="1:18" s="7" customFormat="1" ht="30">
      <c r="A332" s="48"/>
      <c r="B332" s="45"/>
      <c r="C332" s="38"/>
      <c r="D332" s="31" t="s">
        <v>36</v>
      </c>
      <c r="E332" s="37" t="s">
        <v>67</v>
      </c>
      <c r="F332" s="38" t="str">
        <f t="shared" ref="F332" si="141">IF($C332&lt;&gt;"",C332,"")</f>
        <v/>
      </c>
      <c r="G332" s="34">
        <v>5</v>
      </c>
      <c r="H332" s="34">
        <v>5</v>
      </c>
      <c r="I332" s="34">
        <v>5</v>
      </c>
      <c r="J332" s="35">
        <f t="shared" ref="J332:J333" si="142">IF(MAX(G332:I332)=0,"",MAX(G332:I332))</f>
        <v>5</v>
      </c>
      <c r="K332" s="35">
        <v>1</v>
      </c>
      <c r="L332" s="41">
        <f t="shared" ref="L332:L333" si="143">IFERROR(J332*K332,"")</f>
        <v>5</v>
      </c>
      <c r="M332" s="73" t="s">
        <v>819</v>
      </c>
      <c r="N332" s="61" t="s">
        <v>673</v>
      </c>
      <c r="O332" s="61" t="s">
        <v>682</v>
      </c>
      <c r="P332" s="37"/>
      <c r="Q332" s="37" t="s">
        <v>679</v>
      </c>
      <c r="R332" s="61"/>
    </row>
    <row r="333" spans="1:18" s="7" customFormat="1" ht="30">
      <c r="A333" s="48"/>
      <c r="B333" s="45"/>
      <c r="C333" s="38"/>
      <c r="D333" s="37" t="s">
        <v>11</v>
      </c>
      <c r="E333" s="37" t="s">
        <v>67</v>
      </c>
      <c r="F333" s="38"/>
      <c r="G333" s="47">
        <v>1</v>
      </c>
      <c r="H333" s="47">
        <v>1</v>
      </c>
      <c r="I333" s="47">
        <v>5</v>
      </c>
      <c r="J333" s="71">
        <f t="shared" si="142"/>
        <v>5</v>
      </c>
      <c r="K333" s="71">
        <v>1</v>
      </c>
      <c r="L333" s="72">
        <f t="shared" si="143"/>
        <v>5</v>
      </c>
      <c r="M333" s="73" t="s">
        <v>819</v>
      </c>
      <c r="N333" s="74" t="s">
        <v>673</v>
      </c>
      <c r="O333" s="74" t="s">
        <v>672</v>
      </c>
      <c r="P333" s="37"/>
      <c r="Q333" s="37" t="s">
        <v>679</v>
      </c>
      <c r="R333" s="74"/>
    </row>
    <row r="334" spans="1:18" s="7" customFormat="1" ht="179.25" customHeight="1">
      <c r="A334" s="47">
        <v>47</v>
      </c>
      <c r="B334" s="44" t="s">
        <v>756</v>
      </c>
      <c r="C334" s="37" t="s">
        <v>744</v>
      </c>
      <c r="D334" s="31" t="s">
        <v>112</v>
      </c>
      <c r="E334" s="31" t="s">
        <v>790</v>
      </c>
      <c r="F334" s="37" t="s">
        <v>744</v>
      </c>
      <c r="G334" s="34">
        <v>5</v>
      </c>
      <c r="H334" s="34">
        <v>5</v>
      </c>
      <c r="I334" s="34">
        <v>5</v>
      </c>
      <c r="J334" s="35">
        <f>IF(MAX(G334:I334)=0,"",MAX(G334:I334))</f>
        <v>5</v>
      </c>
      <c r="K334" s="35">
        <v>1</v>
      </c>
      <c r="L334" s="34">
        <f>IFERROR(J334*K334,"")</f>
        <v>5</v>
      </c>
      <c r="M334" s="42" t="s">
        <v>783</v>
      </c>
      <c r="N334" s="61" t="s">
        <v>673</v>
      </c>
      <c r="O334" s="61" t="s">
        <v>685</v>
      </c>
      <c r="P334" s="37" t="s">
        <v>748</v>
      </c>
      <c r="Q334" s="37" t="s">
        <v>679</v>
      </c>
      <c r="R334" s="61"/>
    </row>
    <row r="335" spans="1:18" s="7" customFormat="1" ht="30">
      <c r="A335" s="48"/>
      <c r="B335" s="45"/>
      <c r="C335" s="38"/>
      <c r="D335" s="31" t="s">
        <v>36</v>
      </c>
      <c r="E335" s="37" t="s">
        <v>67</v>
      </c>
      <c r="F335" s="38" t="str">
        <f t="shared" ref="F335" si="144">IF($C335&lt;&gt;"",C335,"")</f>
        <v/>
      </c>
      <c r="G335" s="34">
        <v>5</v>
      </c>
      <c r="H335" s="34">
        <v>5</v>
      </c>
      <c r="I335" s="34">
        <v>5</v>
      </c>
      <c r="J335" s="35">
        <f t="shared" ref="J335:J336" si="145">IF(MAX(G335:I335)=0,"",MAX(G335:I335))</f>
        <v>5</v>
      </c>
      <c r="K335" s="35">
        <v>1</v>
      </c>
      <c r="L335" s="41">
        <f t="shared" ref="L335:L336" si="146">IFERROR(J335*K335,"")</f>
        <v>5</v>
      </c>
      <c r="M335" s="73" t="s">
        <v>819</v>
      </c>
      <c r="N335" s="61" t="s">
        <v>673</v>
      </c>
      <c r="O335" s="61" t="s">
        <v>682</v>
      </c>
      <c r="P335" s="37"/>
      <c r="Q335" s="37" t="s">
        <v>679</v>
      </c>
      <c r="R335" s="61"/>
    </row>
    <row r="336" spans="1:18" s="7" customFormat="1" ht="30">
      <c r="A336" s="48"/>
      <c r="B336" s="45"/>
      <c r="C336" s="38"/>
      <c r="D336" s="37" t="s">
        <v>11</v>
      </c>
      <c r="E336" s="37" t="s">
        <v>67</v>
      </c>
      <c r="F336" s="38"/>
      <c r="G336" s="47">
        <v>1</v>
      </c>
      <c r="H336" s="47">
        <v>1</v>
      </c>
      <c r="I336" s="47">
        <v>5</v>
      </c>
      <c r="J336" s="71">
        <f t="shared" si="145"/>
        <v>5</v>
      </c>
      <c r="K336" s="71">
        <v>1</v>
      </c>
      <c r="L336" s="72">
        <f t="shared" si="146"/>
        <v>5</v>
      </c>
      <c r="M336" s="73" t="s">
        <v>819</v>
      </c>
      <c r="N336" s="74" t="s">
        <v>673</v>
      </c>
      <c r="O336" s="74" t="s">
        <v>672</v>
      </c>
      <c r="P336" s="37"/>
      <c r="Q336" s="37" t="s">
        <v>679</v>
      </c>
      <c r="R336" s="74"/>
    </row>
    <row r="337" spans="1:18" s="7" customFormat="1" ht="179.25" customHeight="1">
      <c r="A337" s="47">
        <v>48</v>
      </c>
      <c r="B337" s="44" t="s">
        <v>778</v>
      </c>
      <c r="C337" s="37" t="s">
        <v>744</v>
      </c>
      <c r="D337" s="31" t="s">
        <v>112</v>
      </c>
      <c r="E337" s="31" t="s">
        <v>790</v>
      </c>
      <c r="F337" s="37" t="s">
        <v>744</v>
      </c>
      <c r="G337" s="34">
        <v>5</v>
      </c>
      <c r="H337" s="34">
        <v>5</v>
      </c>
      <c r="I337" s="34">
        <v>5</v>
      </c>
      <c r="J337" s="35">
        <f>IF(MAX(G337:I337)=0,"",MAX(G337:I337))</f>
        <v>5</v>
      </c>
      <c r="K337" s="35">
        <v>1</v>
      </c>
      <c r="L337" s="34">
        <f>IFERROR(J337*K337,"")</f>
        <v>5</v>
      </c>
      <c r="M337" s="42" t="s">
        <v>783</v>
      </c>
      <c r="N337" s="61" t="s">
        <v>673</v>
      </c>
      <c r="O337" s="61" t="s">
        <v>685</v>
      </c>
      <c r="P337" s="37" t="s">
        <v>748</v>
      </c>
      <c r="Q337" s="37" t="s">
        <v>679</v>
      </c>
      <c r="R337" s="61"/>
    </row>
    <row r="338" spans="1:18" s="7" customFormat="1" ht="30">
      <c r="A338" s="48"/>
      <c r="B338" s="45"/>
      <c r="C338" s="38"/>
      <c r="D338" s="31" t="s">
        <v>36</v>
      </c>
      <c r="E338" s="37" t="s">
        <v>67</v>
      </c>
      <c r="F338" s="38" t="str">
        <f t="shared" ref="F338" si="147">IF($C338&lt;&gt;"",C338,"")</f>
        <v/>
      </c>
      <c r="G338" s="34">
        <v>5</v>
      </c>
      <c r="H338" s="34">
        <v>5</v>
      </c>
      <c r="I338" s="34">
        <v>5</v>
      </c>
      <c r="J338" s="35">
        <f t="shared" ref="J338:J339" si="148">IF(MAX(G338:I338)=0,"",MAX(G338:I338))</f>
        <v>5</v>
      </c>
      <c r="K338" s="35">
        <v>1</v>
      </c>
      <c r="L338" s="41">
        <f t="shared" ref="L338:L339" si="149">IFERROR(J338*K338,"")</f>
        <v>5</v>
      </c>
      <c r="M338" s="73" t="s">
        <v>819</v>
      </c>
      <c r="N338" s="61" t="s">
        <v>673</v>
      </c>
      <c r="O338" s="61" t="s">
        <v>682</v>
      </c>
      <c r="P338" s="37"/>
      <c r="Q338" s="37" t="s">
        <v>679</v>
      </c>
      <c r="R338" s="61"/>
    </row>
    <row r="339" spans="1:18" s="7" customFormat="1" ht="30">
      <c r="A339" s="48"/>
      <c r="B339" s="45"/>
      <c r="C339" s="38"/>
      <c r="D339" s="37" t="s">
        <v>11</v>
      </c>
      <c r="E339" s="37" t="s">
        <v>67</v>
      </c>
      <c r="F339" s="38"/>
      <c r="G339" s="47">
        <v>1</v>
      </c>
      <c r="H339" s="47">
        <v>1</v>
      </c>
      <c r="I339" s="47">
        <v>5</v>
      </c>
      <c r="J339" s="71">
        <f t="shared" si="148"/>
        <v>5</v>
      </c>
      <c r="K339" s="71">
        <v>1</v>
      </c>
      <c r="L339" s="72">
        <f t="shared" si="149"/>
        <v>5</v>
      </c>
      <c r="M339" s="73" t="s">
        <v>819</v>
      </c>
      <c r="N339" s="74" t="s">
        <v>673</v>
      </c>
      <c r="O339" s="74" t="s">
        <v>672</v>
      </c>
      <c r="P339" s="37"/>
      <c r="Q339" s="37" t="s">
        <v>679</v>
      </c>
      <c r="R339" s="74"/>
    </row>
    <row r="340" spans="1:18" s="7" customFormat="1" ht="179.25" customHeight="1">
      <c r="A340" s="47">
        <v>49</v>
      </c>
      <c r="B340" s="44" t="s">
        <v>780</v>
      </c>
      <c r="C340" s="37" t="s">
        <v>744</v>
      </c>
      <c r="D340" s="31" t="s">
        <v>112</v>
      </c>
      <c r="E340" s="31" t="s">
        <v>790</v>
      </c>
      <c r="F340" s="37" t="s">
        <v>744</v>
      </c>
      <c r="G340" s="34">
        <v>5</v>
      </c>
      <c r="H340" s="34">
        <v>5</v>
      </c>
      <c r="I340" s="34">
        <v>5</v>
      </c>
      <c r="J340" s="35">
        <f>IF(MAX(G340:I340)=0,"",MAX(G340:I340))</f>
        <v>5</v>
      </c>
      <c r="K340" s="35">
        <v>1</v>
      </c>
      <c r="L340" s="34">
        <f>IFERROR(J340*K340,"")</f>
        <v>5</v>
      </c>
      <c r="M340" s="42" t="s">
        <v>783</v>
      </c>
      <c r="N340" s="61" t="s">
        <v>673</v>
      </c>
      <c r="O340" s="61" t="s">
        <v>685</v>
      </c>
      <c r="P340" s="37" t="s">
        <v>748</v>
      </c>
      <c r="Q340" s="37" t="s">
        <v>679</v>
      </c>
      <c r="R340" s="61"/>
    </row>
    <row r="341" spans="1:18" s="7" customFormat="1" ht="30">
      <c r="A341" s="48"/>
      <c r="B341" s="45"/>
      <c r="C341" s="38"/>
      <c r="D341" s="31" t="s">
        <v>36</v>
      </c>
      <c r="E341" s="37" t="s">
        <v>67</v>
      </c>
      <c r="F341" s="38" t="str">
        <f t="shared" ref="F341" si="150">IF($C341&lt;&gt;"",C341,"")</f>
        <v/>
      </c>
      <c r="G341" s="34">
        <v>5</v>
      </c>
      <c r="H341" s="34">
        <v>5</v>
      </c>
      <c r="I341" s="34">
        <v>5</v>
      </c>
      <c r="J341" s="35">
        <f t="shared" ref="J341:J342" si="151">IF(MAX(G341:I341)=0,"",MAX(G341:I341))</f>
        <v>5</v>
      </c>
      <c r="K341" s="35">
        <v>1</v>
      </c>
      <c r="L341" s="41">
        <f t="shared" ref="L341:L342" si="152">IFERROR(J341*K341,"")</f>
        <v>5</v>
      </c>
      <c r="M341" s="73" t="s">
        <v>819</v>
      </c>
      <c r="N341" s="61" t="s">
        <v>673</v>
      </c>
      <c r="O341" s="61" t="s">
        <v>682</v>
      </c>
      <c r="P341" s="37"/>
      <c r="Q341" s="37" t="s">
        <v>679</v>
      </c>
      <c r="R341" s="61"/>
    </row>
    <row r="342" spans="1:18" s="7" customFormat="1" ht="30">
      <c r="A342" s="48"/>
      <c r="B342" s="45"/>
      <c r="C342" s="38"/>
      <c r="D342" s="37" t="s">
        <v>11</v>
      </c>
      <c r="E342" s="37" t="s">
        <v>67</v>
      </c>
      <c r="F342" s="38"/>
      <c r="G342" s="47">
        <v>1</v>
      </c>
      <c r="H342" s="47">
        <v>1</v>
      </c>
      <c r="I342" s="47">
        <v>5</v>
      </c>
      <c r="J342" s="71">
        <f t="shared" si="151"/>
        <v>5</v>
      </c>
      <c r="K342" s="71">
        <v>1</v>
      </c>
      <c r="L342" s="72">
        <f t="shared" si="152"/>
        <v>5</v>
      </c>
      <c r="M342" s="73" t="s">
        <v>819</v>
      </c>
      <c r="N342" s="74" t="s">
        <v>673</v>
      </c>
      <c r="O342" s="74" t="s">
        <v>672</v>
      </c>
      <c r="P342" s="37"/>
      <c r="Q342" s="37" t="s">
        <v>679</v>
      </c>
      <c r="R342" s="74"/>
    </row>
    <row r="343" spans="1:18" s="7" customFormat="1" ht="179.25" customHeight="1">
      <c r="A343" s="47">
        <v>50</v>
      </c>
      <c r="B343" s="44" t="s">
        <v>751</v>
      </c>
      <c r="C343" s="37" t="s">
        <v>744</v>
      </c>
      <c r="D343" s="31" t="s">
        <v>112</v>
      </c>
      <c r="E343" s="31" t="s">
        <v>790</v>
      </c>
      <c r="F343" s="37" t="s">
        <v>744</v>
      </c>
      <c r="G343" s="34">
        <v>5</v>
      </c>
      <c r="H343" s="34">
        <v>5</v>
      </c>
      <c r="I343" s="34">
        <v>5</v>
      </c>
      <c r="J343" s="35">
        <f>IF(MAX(G343:I343)=0,"",MAX(G343:I343))</f>
        <v>5</v>
      </c>
      <c r="K343" s="35">
        <v>1</v>
      </c>
      <c r="L343" s="34">
        <f>IFERROR(J343*K343,"")</f>
        <v>5</v>
      </c>
      <c r="M343" s="42" t="s">
        <v>783</v>
      </c>
      <c r="N343" s="61" t="s">
        <v>673</v>
      </c>
      <c r="O343" s="61" t="s">
        <v>685</v>
      </c>
      <c r="P343" s="37" t="s">
        <v>748</v>
      </c>
      <c r="Q343" s="37" t="s">
        <v>679</v>
      </c>
      <c r="R343" s="61"/>
    </row>
    <row r="344" spans="1:18" s="7" customFormat="1" ht="30">
      <c r="A344" s="48"/>
      <c r="B344" s="45"/>
      <c r="C344" s="38"/>
      <c r="D344" s="31" t="s">
        <v>36</v>
      </c>
      <c r="E344" s="37" t="s">
        <v>67</v>
      </c>
      <c r="F344" s="38" t="str">
        <f t="shared" ref="F344" si="153">IF($C344&lt;&gt;"",C344,"")</f>
        <v/>
      </c>
      <c r="G344" s="34">
        <v>5</v>
      </c>
      <c r="H344" s="34">
        <v>5</v>
      </c>
      <c r="I344" s="34">
        <v>5</v>
      </c>
      <c r="J344" s="35">
        <f t="shared" ref="J344:J345" si="154">IF(MAX(G344:I344)=0,"",MAX(G344:I344))</f>
        <v>5</v>
      </c>
      <c r="K344" s="35">
        <v>1</v>
      </c>
      <c r="L344" s="41">
        <f t="shared" ref="L344:L345" si="155">IFERROR(J344*K344,"")</f>
        <v>5</v>
      </c>
      <c r="M344" s="73" t="s">
        <v>819</v>
      </c>
      <c r="N344" s="61" t="s">
        <v>673</v>
      </c>
      <c r="O344" s="61" t="s">
        <v>682</v>
      </c>
      <c r="P344" s="37"/>
      <c r="Q344" s="37" t="s">
        <v>679</v>
      </c>
      <c r="R344" s="61"/>
    </row>
    <row r="345" spans="1:18" s="7" customFormat="1" ht="30">
      <c r="A345" s="48"/>
      <c r="B345" s="45"/>
      <c r="C345" s="38"/>
      <c r="D345" s="37" t="s">
        <v>11</v>
      </c>
      <c r="E345" s="37" t="s">
        <v>67</v>
      </c>
      <c r="F345" s="38"/>
      <c r="G345" s="47">
        <v>1</v>
      </c>
      <c r="H345" s="47">
        <v>1</v>
      </c>
      <c r="I345" s="47">
        <v>5</v>
      </c>
      <c r="J345" s="71">
        <f t="shared" si="154"/>
        <v>5</v>
      </c>
      <c r="K345" s="71">
        <v>1</v>
      </c>
      <c r="L345" s="72">
        <f t="shared" si="155"/>
        <v>5</v>
      </c>
      <c r="M345" s="73" t="s">
        <v>819</v>
      </c>
      <c r="N345" s="74" t="s">
        <v>673</v>
      </c>
      <c r="O345" s="74" t="s">
        <v>672</v>
      </c>
      <c r="P345" s="37"/>
      <c r="Q345" s="37" t="s">
        <v>679</v>
      </c>
      <c r="R345" s="74"/>
    </row>
    <row r="346" spans="1:18" s="7" customFormat="1" ht="179.25" customHeight="1">
      <c r="A346" s="47">
        <v>51</v>
      </c>
      <c r="B346" s="44" t="s">
        <v>750</v>
      </c>
      <c r="C346" s="37" t="s">
        <v>744</v>
      </c>
      <c r="D346" s="31" t="s">
        <v>112</v>
      </c>
      <c r="E346" s="31" t="s">
        <v>790</v>
      </c>
      <c r="F346" s="37" t="s">
        <v>744</v>
      </c>
      <c r="G346" s="34">
        <v>2</v>
      </c>
      <c r="H346" s="34">
        <v>2</v>
      </c>
      <c r="I346" s="34">
        <v>2</v>
      </c>
      <c r="J346" s="35">
        <f>IF(MAX(G346:I346)=0,"",MAX(G346:I346))</f>
        <v>2</v>
      </c>
      <c r="K346" s="35">
        <v>1</v>
      </c>
      <c r="L346" s="34">
        <f>IFERROR(J346*K346,"")</f>
        <v>2</v>
      </c>
      <c r="M346" s="42" t="s">
        <v>783</v>
      </c>
      <c r="N346" s="61" t="s">
        <v>673</v>
      </c>
      <c r="O346" s="61" t="s">
        <v>685</v>
      </c>
      <c r="P346" s="37" t="s">
        <v>748</v>
      </c>
      <c r="Q346" s="37" t="s">
        <v>679</v>
      </c>
      <c r="R346" s="61"/>
    </row>
    <row r="347" spans="1:18" s="7" customFormat="1" ht="30">
      <c r="A347" s="48"/>
      <c r="B347" s="45"/>
      <c r="C347" s="38"/>
      <c r="D347" s="31" t="s">
        <v>36</v>
      </c>
      <c r="E347" s="37" t="s">
        <v>67</v>
      </c>
      <c r="F347" s="38" t="str">
        <f t="shared" ref="F347" si="156">IF($C347&lt;&gt;"",C347,"")</f>
        <v/>
      </c>
      <c r="G347" s="34">
        <v>2</v>
      </c>
      <c r="H347" s="34">
        <v>2</v>
      </c>
      <c r="I347" s="34">
        <v>2</v>
      </c>
      <c r="J347" s="35">
        <f t="shared" ref="J347" si="157">IF(MAX(G347:I347)=0,"",MAX(G347:I347))</f>
        <v>2</v>
      </c>
      <c r="K347" s="35">
        <v>1</v>
      </c>
      <c r="L347" s="41">
        <f t="shared" ref="L347:L348" si="158">IFERROR(J347*K347,"")</f>
        <v>2</v>
      </c>
      <c r="M347" s="73" t="s">
        <v>819</v>
      </c>
      <c r="N347" s="61" t="s">
        <v>673</v>
      </c>
      <c r="O347" s="61" t="s">
        <v>682</v>
      </c>
      <c r="P347" s="37"/>
      <c r="Q347" s="37" t="s">
        <v>679</v>
      </c>
      <c r="R347" s="61"/>
    </row>
    <row r="348" spans="1:18" s="7" customFormat="1" ht="30">
      <c r="A348" s="48"/>
      <c r="B348" s="45"/>
      <c r="C348" s="38"/>
      <c r="D348" s="37" t="s">
        <v>11</v>
      </c>
      <c r="E348" s="37" t="s">
        <v>67</v>
      </c>
      <c r="F348" s="38"/>
      <c r="G348" s="47">
        <v>1</v>
      </c>
      <c r="H348" s="47">
        <v>1</v>
      </c>
      <c r="I348" s="47">
        <v>2</v>
      </c>
      <c r="J348" s="71">
        <v>2</v>
      </c>
      <c r="K348" s="71">
        <v>1</v>
      </c>
      <c r="L348" s="72">
        <f t="shared" si="158"/>
        <v>2</v>
      </c>
      <c r="M348" s="73" t="s">
        <v>819</v>
      </c>
      <c r="N348" s="74" t="s">
        <v>673</v>
      </c>
      <c r="O348" s="74" t="s">
        <v>672</v>
      </c>
      <c r="P348" s="37"/>
      <c r="Q348" s="37" t="s">
        <v>679</v>
      </c>
      <c r="R348" s="74"/>
    </row>
    <row r="349" spans="1:18" s="7" customFormat="1" ht="179.25" customHeight="1">
      <c r="A349" s="47">
        <v>52</v>
      </c>
      <c r="B349" s="44" t="s">
        <v>758</v>
      </c>
      <c r="C349" s="37" t="s">
        <v>744</v>
      </c>
      <c r="D349" s="31" t="s">
        <v>112</v>
      </c>
      <c r="E349" s="31" t="s">
        <v>790</v>
      </c>
      <c r="F349" s="37" t="s">
        <v>744</v>
      </c>
      <c r="G349" s="34">
        <v>2</v>
      </c>
      <c r="H349" s="34">
        <v>2</v>
      </c>
      <c r="I349" s="34">
        <v>2</v>
      </c>
      <c r="J349" s="35">
        <f>IF(MAX(G349:I349)=0,"",MAX(G349:I349))</f>
        <v>2</v>
      </c>
      <c r="K349" s="35">
        <v>1</v>
      </c>
      <c r="L349" s="34">
        <f>IFERROR(J349*K349,"")</f>
        <v>2</v>
      </c>
      <c r="M349" s="42" t="s">
        <v>783</v>
      </c>
      <c r="N349" s="61" t="s">
        <v>673</v>
      </c>
      <c r="O349" s="61" t="s">
        <v>685</v>
      </c>
      <c r="P349" s="37" t="s">
        <v>748</v>
      </c>
      <c r="Q349" s="37" t="s">
        <v>679</v>
      </c>
      <c r="R349" s="61"/>
    </row>
    <row r="350" spans="1:18" s="7" customFormat="1" ht="30">
      <c r="A350" s="48"/>
      <c r="B350" s="45"/>
      <c r="C350" s="38"/>
      <c r="D350" s="31" t="s">
        <v>36</v>
      </c>
      <c r="E350" s="37" t="s">
        <v>67</v>
      </c>
      <c r="F350" s="38" t="str">
        <f t="shared" ref="F350" si="159">IF($C350&lt;&gt;"",C350,"")</f>
        <v/>
      </c>
      <c r="G350" s="34">
        <v>2</v>
      </c>
      <c r="H350" s="34">
        <v>2</v>
      </c>
      <c r="I350" s="34">
        <v>2</v>
      </c>
      <c r="J350" s="35">
        <f t="shared" ref="J350" si="160">IF(MAX(G350:I350)=0,"",MAX(G350:I350))</f>
        <v>2</v>
      </c>
      <c r="K350" s="35">
        <v>1</v>
      </c>
      <c r="L350" s="41">
        <f t="shared" ref="L350:L351" si="161">IFERROR(J350*K350,"")</f>
        <v>2</v>
      </c>
      <c r="M350" s="73" t="s">
        <v>819</v>
      </c>
      <c r="N350" s="61" t="s">
        <v>673</v>
      </c>
      <c r="O350" s="61" t="s">
        <v>682</v>
      </c>
      <c r="P350" s="37"/>
      <c r="Q350" s="37" t="s">
        <v>679</v>
      </c>
      <c r="R350" s="61"/>
    </row>
    <row r="351" spans="1:18" s="7" customFormat="1" ht="30">
      <c r="A351" s="48"/>
      <c r="B351" s="45"/>
      <c r="C351" s="38"/>
      <c r="D351" s="37" t="s">
        <v>11</v>
      </c>
      <c r="E351" s="37" t="s">
        <v>67</v>
      </c>
      <c r="F351" s="38"/>
      <c r="G351" s="47">
        <v>1</v>
      </c>
      <c r="H351" s="47">
        <v>1</v>
      </c>
      <c r="I351" s="47">
        <v>2</v>
      </c>
      <c r="J351" s="71">
        <v>2</v>
      </c>
      <c r="K351" s="71">
        <v>1</v>
      </c>
      <c r="L351" s="72">
        <f t="shared" si="161"/>
        <v>2</v>
      </c>
      <c r="M351" s="73" t="s">
        <v>819</v>
      </c>
      <c r="N351" s="74" t="s">
        <v>673</v>
      </c>
      <c r="O351" s="74" t="s">
        <v>672</v>
      </c>
      <c r="P351" s="37"/>
      <c r="Q351" s="37" t="s">
        <v>679</v>
      </c>
      <c r="R351" s="74"/>
    </row>
    <row r="352" spans="1:18" s="7" customFormat="1" ht="179.25" customHeight="1">
      <c r="A352" s="47">
        <v>53</v>
      </c>
      <c r="B352" s="44" t="s">
        <v>759</v>
      </c>
      <c r="C352" s="37" t="s">
        <v>744</v>
      </c>
      <c r="D352" s="31" t="s">
        <v>112</v>
      </c>
      <c r="E352" s="31" t="s">
        <v>790</v>
      </c>
      <c r="F352" s="37" t="s">
        <v>744</v>
      </c>
      <c r="G352" s="34">
        <v>2</v>
      </c>
      <c r="H352" s="34">
        <v>2</v>
      </c>
      <c r="I352" s="34">
        <v>2</v>
      </c>
      <c r="J352" s="35">
        <f>IF(MAX(G352:I352)=0,"",MAX(G352:I352))</f>
        <v>2</v>
      </c>
      <c r="K352" s="35">
        <v>1</v>
      </c>
      <c r="L352" s="34">
        <f>IFERROR(J352*K352,"")</f>
        <v>2</v>
      </c>
      <c r="M352" s="42" t="s">
        <v>783</v>
      </c>
      <c r="N352" s="61" t="s">
        <v>673</v>
      </c>
      <c r="O352" s="61" t="s">
        <v>685</v>
      </c>
      <c r="P352" s="37" t="s">
        <v>748</v>
      </c>
      <c r="Q352" s="37" t="s">
        <v>679</v>
      </c>
      <c r="R352" s="61"/>
    </row>
    <row r="353" spans="1:18" s="7" customFormat="1" ht="30">
      <c r="A353" s="48"/>
      <c r="B353" s="45"/>
      <c r="C353" s="38"/>
      <c r="D353" s="31" t="s">
        <v>36</v>
      </c>
      <c r="E353" s="37" t="s">
        <v>67</v>
      </c>
      <c r="F353" s="38" t="str">
        <f t="shared" ref="F353" si="162">IF($C353&lt;&gt;"",C353,"")</f>
        <v/>
      </c>
      <c r="G353" s="34">
        <v>2</v>
      </c>
      <c r="H353" s="34">
        <v>2</v>
      </c>
      <c r="I353" s="34">
        <v>2</v>
      </c>
      <c r="J353" s="35">
        <f t="shared" ref="J353" si="163">IF(MAX(G353:I353)=0,"",MAX(G353:I353))</f>
        <v>2</v>
      </c>
      <c r="K353" s="35">
        <v>1</v>
      </c>
      <c r="L353" s="41">
        <f t="shared" ref="L353:L354" si="164">IFERROR(J353*K353,"")</f>
        <v>2</v>
      </c>
      <c r="M353" s="73" t="s">
        <v>819</v>
      </c>
      <c r="N353" s="61" t="s">
        <v>673</v>
      </c>
      <c r="O353" s="61" t="s">
        <v>682</v>
      </c>
      <c r="P353" s="37"/>
      <c r="Q353" s="37" t="s">
        <v>679</v>
      </c>
      <c r="R353" s="61"/>
    </row>
    <row r="354" spans="1:18" s="7" customFormat="1" ht="30">
      <c r="A354" s="48"/>
      <c r="B354" s="45"/>
      <c r="C354" s="38"/>
      <c r="D354" s="37" t="s">
        <v>11</v>
      </c>
      <c r="E354" s="37" t="s">
        <v>67</v>
      </c>
      <c r="F354" s="38"/>
      <c r="G354" s="47">
        <v>1</v>
      </c>
      <c r="H354" s="47">
        <v>1</v>
      </c>
      <c r="I354" s="47">
        <v>2</v>
      </c>
      <c r="J354" s="71">
        <v>2</v>
      </c>
      <c r="K354" s="71">
        <v>1</v>
      </c>
      <c r="L354" s="72">
        <f t="shared" si="164"/>
        <v>2</v>
      </c>
      <c r="M354" s="73" t="s">
        <v>819</v>
      </c>
      <c r="N354" s="74" t="s">
        <v>673</v>
      </c>
      <c r="O354" s="74" t="s">
        <v>672</v>
      </c>
      <c r="P354" s="37"/>
      <c r="Q354" s="37" t="s">
        <v>679</v>
      </c>
      <c r="R354" s="74"/>
    </row>
    <row r="355" spans="1:18" s="7" customFormat="1" ht="179.25" customHeight="1">
      <c r="A355" s="47">
        <v>54</v>
      </c>
      <c r="B355" s="44" t="s">
        <v>765</v>
      </c>
      <c r="C355" s="37" t="s">
        <v>744</v>
      </c>
      <c r="D355" s="31" t="s">
        <v>112</v>
      </c>
      <c r="E355" s="31" t="s">
        <v>790</v>
      </c>
      <c r="F355" s="37" t="s">
        <v>744</v>
      </c>
      <c r="G355" s="34">
        <v>5</v>
      </c>
      <c r="H355" s="34">
        <v>5</v>
      </c>
      <c r="I355" s="34">
        <v>5</v>
      </c>
      <c r="J355" s="35">
        <f>IF(MAX(G355:I355)=0,"",MAX(G355:I355))</f>
        <v>5</v>
      </c>
      <c r="K355" s="35">
        <v>1</v>
      </c>
      <c r="L355" s="34">
        <f>IFERROR(J355*K355,"")</f>
        <v>5</v>
      </c>
      <c r="M355" s="42" t="s">
        <v>783</v>
      </c>
      <c r="N355" s="61" t="s">
        <v>673</v>
      </c>
      <c r="O355" s="61" t="s">
        <v>685</v>
      </c>
      <c r="P355" s="37" t="s">
        <v>748</v>
      </c>
      <c r="Q355" s="37" t="s">
        <v>679</v>
      </c>
      <c r="R355" s="61"/>
    </row>
    <row r="356" spans="1:18" s="7" customFormat="1" ht="75">
      <c r="A356" s="48"/>
      <c r="B356" s="45"/>
      <c r="C356" s="38"/>
      <c r="D356" s="31" t="s">
        <v>38</v>
      </c>
      <c r="E356" s="31" t="s">
        <v>72</v>
      </c>
      <c r="F356" s="38" t="str">
        <f t="shared" ref="F356" si="165">IF($C356&lt;&gt;"",C356,"")</f>
        <v/>
      </c>
      <c r="G356" s="34">
        <v>5</v>
      </c>
      <c r="H356" s="34">
        <v>5</v>
      </c>
      <c r="I356" s="34">
        <v>5</v>
      </c>
      <c r="J356" s="35">
        <f t="shared" ref="J356:J357" si="166">IF(MAX(G356:I356)=0,"",MAX(G356:I356))</f>
        <v>5</v>
      </c>
      <c r="K356" s="35">
        <v>1</v>
      </c>
      <c r="L356" s="41">
        <f t="shared" ref="L356:L357" si="167">IFERROR(J356*K356,"")</f>
        <v>5</v>
      </c>
      <c r="M356" s="42" t="s">
        <v>577</v>
      </c>
      <c r="N356" s="61" t="s">
        <v>673</v>
      </c>
      <c r="O356" s="61" t="s">
        <v>682</v>
      </c>
      <c r="P356" s="37"/>
      <c r="Q356" s="37" t="s">
        <v>679</v>
      </c>
      <c r="R356" s="61"/>
    </row>
    <row r="357" spans="1:18" s="7" customFormat="1" ht="75">
      <c r="A357" s="48"/>
      <c r="B357" s="45"/>
      <c r="C357" s="38"/>
      <c r="D357" s="37" t="s">
        <v>11</v>
      </c>
      <c r="E357" s="37" t="s">
        <v>67</v>
      </c>
      <c r="F357" s="38"/>
      <c r="G357" s="47">
        <v>1</v>
      </c>
      <c r="H357" s="47">
        <v>1</v>
      </c>
      <c r="I357" s="47">
        <v>5</v>
      </c>
      <c r="J357" s="71">
        <f t="shared" si="166"/>
        <v>5</v>
      </c>
      <c r="K357" s="71">
        <v>1</v>
      </c>
      <c r="L357" s="72">
        <f t="shared" si="167"/>
        <v>5</v>
      </c>
      <c r="M357" s="73" t="s">
        <v>594</v>
      </c>
      <c r="N357" s="74" t="s">
        <v>673</v>
      </c>
      <c r="O357" s="74" t="s">
        <v>672</v>
      </c>
      <c r="P357" s="37"/>
      <c r="Q357" s="37" t="s">
        <v>679</v>
      </c>
      <c r="R357" s="74"/>
    </row>
    <row r="358" spans="1:18" s="7" customFormat="1" ht="69.75" customHeight="1">
      <c r="A358" s="47">
        <v>55</v>
      </c>
      <c r="B358" s="44" t="s">
        <v>766</v>
      </c>
      <c r="C358" s="37" t="s">
        <v>744</v>
      </c>
      <c r="D358" s="31" t="s">
        <v>112</v>
      </c>
      <c r="E358" s="31" t="s">
        <v>600</v>
      </c>
      <c r="F358" s="37" t="s">
        <v>744</v>
      </c>
      <c r="G358" s="34">
        <v>5</v>
      </c>
      <c r="H358" s="34">
        <v>5</v>
      </c>
      <c r="I358" s="34">
        <v>5</v>
      </c>
      <c r="J358" s="35">
        <f>IF(MAX(G358:I358)=0,"",MAX(G358:I358))</f>
        <v>5</v>
      </c>
      <c r="K358" s="35">
        <v>1</v>
      </c>
      <c r="L358" s="34">
        <f>IFERROR(J358*K358,"")</f>
        <v>5</v>
      </c>
      <c r="M358" s="42" t="s">
        <v>571</v>
      </c>
      <c r="N358" s="61" t="s">
        <v>673</v>
      </c>
      <c r="O358" s="61" t="s">
        <v>687</v>
      </c>
      <c r="P358" s="37"/>
      <c r="Q358" s="37" t="s">
        <v>668</v>
      </c>
      <c r="R358" s="62">
        <v>43445</v>
      </c>
    </row>
    <row r="359" spans="1:18" s="7" customFormat="1" ht="60">
      <c r="A359" s="48"/>
      <c r="B359" s="45"/>
      <c r="C359" s="38"/>
      <c r="D359" s="31" t="s">
        <v>36</v>
      </c>
      <c r="E359" s="31" t="s">
        <v>67</v>
      </c>
      <c r="F359" s="38" t="str">
        <f>IF($C359&lt;&gt;"",C359,"")</f>
        <v/>
      </c>
      <c r="G359" s="34">
        <v>1</v>
      </c>
      <c r="H359" s="34">
        <v>1</v>
      </c>
      <c r="I359" s="34">
        <v>5</v>
      </c>
      <c r="J359" s="35">
        <f t="shared" ref="J359:J368" si="168">IF(MAX(G359:I359)=0,"",MAX(G359:I359))</f>
        <v>5</v>
      </c>
      <c r="K359" s="35">
        <v>1</v>
      </c>
      <c r="L359" s="34">
        <f t="shared" ref="L359:L368" si="169">IFERROR(J359*K359,"")</f>
        <v>5</v>
      </c>
      <c r="M359" s="42" t="s">
        <v>809</v>
      </c>
      <c r="N359" s="61" t="s">
        <v>673</v>
      </c>
      <c r="O359" s="60" t="s">
        <v>677</v>
      </c>
      <c r="P359" s="37"/>
      <c r="Q359" s="37" t="s">
        <v>679</v>
      </c>
      <c r="R359" s="60"/>
    </row>
    <row r="360" spans="1:18" s="7" customFormat="1" ht="60">
      <c r="A360" s="48"/>
      <c r="B360" s="45"/>
      <c r="C360" s="38"/>
      <c r="D360" s="31" t="s">
        <v>25</v>
      </c>
      <c r="E360" s="31" t="s">
        <v>69</v>
      </c>
      <c r="F360" s="38" t="str">
        <f>IF($C360&lt;&gt;"",C360,"")</f>
        <v/>
      </c>
      <c r="G360" s="34">
        <v>1</v>
      </c>
      <c r="H360" s="34">
        <v>1</v>
      </c>
      <c r="I360" s="34">
        <v>5</v>
      </c>
      <c r="J360" s="35">
        <f t="shared" si="168"/>
        <v>5</v>
      </c>
      <c r="K360" s="35">
        <v>1</v>
      </c>
      <c r="L360" s="34">
        <f t="shared" si="169"/>
        <v>5</v>
      </c>
      <c r="M360" s="42" t="s">
        <v>616</v>
      </c>
      <c r="N360" s="61" t="s">
        <v>673</v>
      </c>
      <c r="O360" s="60" t="s">
        <v>677</v>
      </c>
      <c r="P360" s="37"/>
      <c r="Q360" s="37" t="s">
        <v>679</v>
      </c>
      <c r="R360" s="60"/>
    </row>
    <row r="361" spans="1:18" s="7" customFormat="1" ht="60">
      <c r="A361" s="48"/>
      <c r="B361" s="45"/>
      <c r="C361" s="38"/>
      <c r="D361" s="31" t="s">
        <v>25</v>
      </c>
      <c r="E361" s="31" t="s">
        <v>81</v>
      </c>
      <c r="F361" s="38"/>
      <c r="G361" s="34">
        <v>1</v>
      </c>
      <c r="H361" s="34">
        <v>1</v>
      </c>
      <c r="I361" s="34">
        <v>5</v>
      </c>
      <c r="J361" s="35">
        <f t="shared" si="168"/>
        <v>5</v>
      </c>
      <c r="K361" s="35">
        <v>1</v>
      </c>
      <c r="L361" s="34">
        <f t="shared" si="169"/>
        <v>5</v>
      </c>
      <c r="M361" s="42" t="s">
        <v>614</v>
      </c>
      <c r="N361" s="61" t="s">
        <v>673</v>
      </c>
      <c r="O361" s="60" t="s">
        <v>677</v>
      </c>
      <c r="P361" s="37"/>
      <c r="Q361" s="37" t="s">
        <v>679</v>
      </c>
      <c r="R361" s="60"/>
    </row>
    <row r="362" spans="1:18" s="7" customFormat="1" ht="60">
      <c r="A362" s="48"/>
      <c r="B362" s="45"/>
      <c r="C362" s="38"/>
      <c r="D362" s="31" t="s">
        <v>25</v>
      </c>
      <c r="E362" s="31" t="s">
        <v>90</v>
      </c>
      <c r="F362" s="38"/>
      <c r="G362" s="34">
        <v>1</v>
      </c>
      <c r="H362" s="34">
        <v>1</v>
      </c>
      <c r="I362" s="34">
        <v>5</v>
      </c>
      <c r="J362" s="35">
        <f t="shared" si="168"/>
        <v>5</v>
      </c>
      <c r="K362" s="35">
        <v>1</v>
      </c>
      <c r="L362" s="34">
        <f t="shared" si="169"/>
        <v>5</v>
      </c>
      <c r="M362" s="42" t="s">
        <v>615</v>
      </c>
      <c r="N362" s="61" t="s">
        <v>673</v>
      </c>
      <c r="O362" s="60" t="s">
        <v>677</v>
      </c>
      <c r="P362" s="37"/>
      <c r="Q362" s="37" t="s">
        <v>679</v>
      </c>
      <c r="R362" s="60"/>
    </row>
    <row r="363" spans="1:18" s="7" customFormat="1" ht="60">
      <c r="A363" s="48"/>
      <c r="B363" s="45"/>
      <c r="C363" s="38"/>
      <c r="D363" s="31" t="s">
        <v>25</v>
      </c>
      <c r="E363" s="31" t="s">
        <v>91</v>
      </c>
      <c r="F363" s="38"/>
      <c r="G363" s="34">
        <v>1</v>
      </c>
      <c r="H363" s="34">
        <v>1</v>
      </c>
      <c r="I363" s="34">
        <v>5</v>
      </c>
      <c r="J363" s="35">
        <f t="shared" si="168"/>
        <v>5</v>
      </c>
      <c r="K363" s="35">
        <v>1</v>
      </c>
      <c r="L363" s="34">
        <f t="shared" si="169"/>
        <v>5</v>
      </c>
      <c r="M363" s="42" t="s">
        <v>574</v>
      </c>
      <c r="N363" s="61" t="s">
        <v>673</v>
      </c>
      <c r="O363" s="60" t="s">
        <v>677</v>
      </c>
      <c r="P363" s="37"/>
      <c r="Q363" s="37" t="s">
        <v>679</v>
      </c>
      <c r="R363" s="60"/>
    </row>
    <row r="364" spans="1:18" s="7" customFormat="1" ht="60">
      <c r="A364" s="48"/>
      <c r="B364" s="45"/>
      <c r="C364" s="38"/>
      <c r="D364" s="31" t="s">
        <v>27</v>
      </c>
      <c r="E364" s="31" t="s">
        <v>80</v>
      </c>
      <c r="F364" s="38" t="str">
        <f t="shared" ref="F364:F368" si="170">IF($C364&lt;&gt;"",C364,"")</f>
        <v/>
      </c>
      <c r="G364" s="34">
        <v>1</v>
      </c>
      <c r="H364" s="34">
        <v>1</v>
      </c>
      <c r="I364" s="34">
        <v>5</v>
      </c>
      <c r="J364" s="35">
        <f t="shared" si="168"/>
        <v>5</v>
      </c>
      <c r="K364" s="35">
        <v>1</v>
      </c>
      <c r="L364" s="34">
        <f t="shared" si="169"/>
        <v>5</v>
      </c>
      <c r="M364" s="42" t="s">
        <v>602</v>
      </c>
      <c r="N364" s="61" t="s">
        <v>676</v>
      </c>
      <c r="O364" s="61" t="s">
        <v>678</v>
      </c>
      <c r="P364" s="37"/>
      <c r="Q364" s="37" t="s">
        <v>680</v>
      </c>
      <c r="R364" s="61"/>
    </row>
    <row r="365" spans="1:18" s="7" customFormat="1" ht="60">
      <c r="A365" s="48"/>
      <c r="B365" s="45"/>
      <c r="C365" s="38"/>
      <c r="D365" s="31" t="s">
        <v>32</v>
      </c>
      <c r="E365" s="31" t="s">
        <v>91</v>
      </c>
      <c r="F365" s="38" t="str">
        <f t="shared" si="170"/>
        <v/>
      </c>
      <c r="G365" s="34">
        <v>1</v>
      </c>
      <c r="H365" s="34">
        <v>1</v>
      </c>
      <c r="I365" s="34">
        <v>5</v>
      </c>
      <c r="J365" s="35">
        <f t="shared" si="168"/>
        <v>5</v>
      </c>
      <c r="K365" s="35">
        <v>1</v>
      </c>
      <c r="L365" s="34">
        <f t="shared" si="169"/>
        <v>5</v>
      </c>
      <c r="M365" s="42" t="s">
        <v>603</v>
      </c>
      <c r="N365" s="61" t="s">
        <v>676</v>
      </c>
      <c r="O365" s="61" t="s">
        <v>678</v>
      </c>
      <c r="P365" s="37"/>
      <c r="Q365" s="37" t="s">
        <v>680</v>
      </c>
      <c r="R365" s="61"/>
    </row>
    <row r="366" spans="1:18" s="7" customFormat="1" ht="45">
      <c r="A366" s="48"/>
      <c r="B366" s="45"/>
      <c r="C366" s="38"/>
      <c r="D366" s="31" t="s">
        <v>19</v>
      </c>
      <c r="E366" s="31" t="s">
        <v>70</v>
      </c>
      <c r="F366" s="38" t="str">
        <f t="shared" si="170"/>
        <v/>
      </c>
      <c r="G366" s="34">
        <v>1</v>
      </c>
      <c r="H366" s="34">
        <v>1</v>
      </c>
      <c r="I366" s="34">
        <v>5</v>
      </c>
      <c r="J366" s="35">
        <f t="shared" si="168"/>
        <v>5</v>
      </c>
      <c r="K366" s="35">
        <v>1</v>
      </c>
      <c r="L366" s="34">
        <f t="shared" si="169"/>
        <v>5</v>
      </c>
      <c r="M366" s="42" t="s">
        <v>610</v>
      </c>
      <c r="N366" s="61" t="s">
        <v>673</v>
      </c>
      <c r="O366" s="60" t="s">
        <v>689</v>
      </c>
      <c r="P366" s="37" t="s">
        <v>692</v>
      </c>
      <c r="Q366" s="37" t="s">
        <v>670</v>
      </c>
      <c r="R366" s="62">
        <v>43445</v>
      </c>
    </row>
    <row r="367" spans="1:18" s="7" customFormat="1" ht="45">
      <c r="A367" s="48"/>
      <c r="B367" s="45"/>
      <c r="C367" s="38"/>
      <c r="D367" s="31" t="s">
        <v>36</v>
      </c>
      <c r="E367" s="31" t="s">
        <v>67</v>
      </c>
      <c r="F367" s="38" t="str">
        <f t="shared" si="170"/>
        <v/>
      </c>
      <c r="G367" s="34">
        <v>1</v>
      </c>
      <c r="H367" s="34">
        <v>1</v>
      </c>
      <c r="I367" s="34">
        <v>5</v>
      </c>
      <c r="J367" s="35">
        <f t="shared" si="168"/>
        <v>5</v>
      </c>
      <c r="K367" s="35">
        <v>1</v>
      </c>
      <c r="L367" s="41">
        <f t="shared" si="169"/>
        <v>5</v>
      </c>
      <c r="M367" s="42" t="s">
        <v>611</v>
      </c>
      <c r="N367" s="61" t="s">
        <v>673</v>
      </c>
      <c r="O367" s="61" t="s">
        <v>672</v>
      </c>
      <c r="P367" s="37"/>
      <c r="Q367" s="37" t="s">
        <v>679</v>
      </c>
      <c r="R367" s="61"/>
    </row>
    <row r="368" spans="1:18" s="7" customFormat="1" ht="45">
      <c r="A368" s="48"/>
      <c r="B368" s="45"/>
      <c r="C368" s="38"/>
      <c r="D368" s="31" t="s">
        <v>50</v>
      </c>
      <c r="E368" s="40" t="s">
        <v>72</v>
      </c>
      <c r="F368" s="38" t="str">
        <f t="shared" si="170"/>
        <v/>
      </c>
      <c r="G368" s="34">
        <v>1</v>
      </c>
      <c r="H368" s="34">
        <v>1</v>
      </c>
      <c r="I368" s="34">
        <v>5</v>
      </c>
      <c r="J368" s="35">
        <f t="shared" si="168"/>
        <v>5</v>
      </c>
      <c r="K368" s="35">
        <v>1</v>
      </c>
      <c r="L368" s="41">
        <f t="shared" si="169"/>
        <v>5</v>
      </c>
      <c r="M368" s="42" t="s">
        <v>811</v>
      </c>
      <c r="N368" s="61" t="s">
        <v>673</v>
      </c>
      <c r="O368" s="61" t="s">
        <v>683</v>
      </c>
      <c r="P368" s="37"/>
      <c r="Q368" s="37" t="s">
        <v>679</v>
      </c>
      <c r="R368" s="61"/>
    </row>
    <row r="369" spans="1:18" s="7" customFormat="1">
      <c r="A369" s="49"/>
      <c r="B369" s="46"/>
      <c r="C369" s="39"/>
      <c r="D369" s="31"/>
      <c r="E369" s="40"/>
      <c r="F369" s="39"/>
      <c r="G369" s="34"/>
      <c r="H369" s="34"/>
      <c r="I369" s="34"/>
      <c r="J369" s="35"/>
      <c r="K369" s="35"/>
      <c r="L369" s="41"/>
      <c r="M369" s="42"/>
      <c r="N369" s="61"/>
      <c r="O369" s="61"/>
      <c r="P369" s="31"/>
      <c r="Q369" s="31"/>
      <c r="R369" s="61"/>
    </row>
  </sheetData>
  <dataConsolidate/>
  <mergeCells count="2">
    <mergeCell ref="A1:M1"/>
    <mergeCell ref="N1:R1"/>
  </mergeCells>
  <conditionalFormatting sqref="L228:L230 L3:L203 L235:L369">
    <cfRule type="cellIs" dxfId="66" priority="22" operator="greaterThanOrEqual">
      <formula>15</formula>
    </cfRule>
    <cfRule type="cellIs" dxfId="65" priority="23" operator="between">
      <formula>5</formula>
      <formula>14</formula>
    </cfRule>
    <cfRule type="cellIs" dxfId="64" priority="24" operator="lessThanOrEqual">
      <formula>4</formula>
    </cfRule>
  </conditionalFormatting>
  <conditionalFormatting sqref="L204:L207">
    <cfRule type="cellIs" dxfId="63" priority="19" operator="greaterThanOrEqual">
      <formula>15</formula>
    </cfRule>
    <cfRule type="cellIs" dxfId="62" priority="20" operator="between">
      <formula>5</formula>
      <formula>14</formula>
    </cfRule>
    <cfRule type="cellIs" dxfId="61" priority="21" operator="lessThanOrEqual">
      <formula>4</formula>
    </cfRule>
  </conditionalFormatting>
  <conditionalFormatting sqref="L208:L211">
    <cfRule type="cellIs" dxfId="60" priority="16" operator="greaterThanOrEqual">
      <formula>15</formula>
    </cfRule>
    <cfRule type="cellIs" dxfId="59" priority="17" operator="between">
      <formula>5</formula>
      <formula>14</formula>
    </cfRule>
    <cfRule type="cellIs" dxfId="58" priority="18" operator="lessThanOrEqual">
      <formula>4</formula>
    </cfRule>
  </conditionalFormatting>
  <conditionalFormatting sqref="L212:L215">
    <cfRule type="cellIs" dxfId="57" priority="13" operator="greaterThanOrEqual">
      <formula>15</formula>
    </cfRule>
    <cfRule type="cellIs" dxfId="56" priority="14" operator="between">
      <formula>5</formula>
      <formula>14</formula>
    </cfRule>
    <cfRule type="cellIs" dxfId="55" priority="15" operator="lessThanOrEqual">
      <formula>4</formula>
    </cfRule>
  </conditionalFormatting>
  <conditionalFormatting sqref="L216:L219">
    <cfRule type="cellIs" dxfId="54" priority="10" operator="greaterThanOrEqual">
      <formula>15</formula>
    </cfRule>
    <cfRule type="cellIs" dxfId="53" priority="11" operator="between">
      <formula>5</formula>
      <formula>14</formula>
    </cfRule>
    <cfRule type="cellIs" dxfId="52" priority="12" operator="lessThanOrEqual">
      <formula>4</formula>
    </cfRule>
  </conditionalFormatting>
  <conditionalFormatting sqref="L220:L223">
    <cfRule type="cellIs" dxfId="51" priority="7" operator="greaterThanOrEqual">
      <formula>15</formula>
    </cfRule>
    <cfRule type="cellIs" dxfId="50" priority="8" operator="between">
      <formula>5</formula>
      <formula>14</formula>
    </cfRule>
    <cfRule type="cellIs" dxfId="49" priority="9" operator="lessThanOrEqual">
      <formula>4</formula>
    </cfRule>
  </conditionalFormatting>
  <conditionalFormatting sqref="L224:L227">
    <cfRule type="cellIs" dxfId="48" priority="4" operator="greaterThanOrEqual">
      <formula>15</formula>
    </cfRule>
    <cfRule type="cellIs" dxfId="47" priority="5" operator="between">
      <formula>5</formula>
      <formula>14</formula>
    </cfRule>
    <cfRule type="cellIs" dxfId="46" priority="6" operator="lessThanOrEqual">
      <formula>4</formula>
    </cfRule>
  </conditionalFormatting>
  <conditionalFormatting sqref="L231:L234">
    <cfRule type="cellIs" dxfId="45" priority="1" operator="greaterThanOrEqual">
      <formula>15</formula>
    </cfRule>
    <cfRule type="cellIs" dxfId="44" priority="2" operator="between">
      <formula>5</formula>
      <formula>14</formula>
    </cfRule>
    <cfRule type="cellIs" dxfId="43" priority="3" operator="lessThanOrEqual">
      <formula>4</formula>
    </cfRule>
  </conditionalFormatting>
  <dataValidations count="12">
    <dataValidation type="list" allowBlank="1" showInputMessage="1" sqref="O3:O369">
      <formula1>DocsList</formula1>
    </dataValidation>
    <dataValidation type="list" allowBlank="1" showInputMessage="1" showErrorMessage="1" sqref="E3:E369">
      <formula1>VulnerabitiesList</formula1>
    </dataValidation>
    <dataValidation allowBlank="1" showInputMessage="1" showErrorMessage="1" errorTitle="Wrong value!" error="Values 0, 1 or 2 are allowed" sqref="J3:J369"/>
    <dataValidation type="list" allowBlank="1" showInputMessage="1" showErrorMessage="1" sqref="D3:D369">
      <formula1>ThreatsList</formula1>
    </dataValidation>
    <dataValidation type="list" errorStyle="information" allowBlank="1" showInputMessage="1" showErrorMessage="1" sqref="P3:P369 F3:F369 C3:C369">
      <formula1>RiskOwners</formula1>
    </dataValidation>
    <dataValidation type="list" allowBlank="1" showInputMessage="1" showErrorMessage="1" sqref="B3:B369">
      <formula1>AssetsList</formula1>
    </dataValidation>
    <dataValidation type="list" errorStyle="information" allowBlank="1" showInputMessage="1" showErrorMessage="1" sqref="G3:G369">
      <formula1>RatingConfidentiality</formula1>
    </dataValidation>
    <dataValidation type="list" errorStyle="information" allowBlank="1" showInputMessage="1" showErrorMessage="1" sqref="I3:I369">
      <formula1>RatingAvailability</formula1>
    </dataValidation>
    <dataValidation type="list" allowBlank="1" showInputMessage="1" showErrorMessage="1" sqref="H3:H369">
      <formula1>RatingIntegrity</formula1>
    </dataValidation>
    <dataValidation type="list" allowBlank="1" showInputMessage="1" showErrorMessage="1" sqref="N3:N369">
      <formula1>RTPoptions</formula1>
    </dataValidation>
    <dataValidation type="list" errorStyle="information" allowBlank="1" showInputMessage="1" showErrorMessage="1" sqref="Q3:Q369">
      <formula1>RTPstatus</formula1>
    </dataValidation>
    <dataValidation type="list" allowBlank="1" showInputMessage="1" showErrorMessage="1" sqref="K3:K369">
      <formula1>LikelihoodRating</formula1>
    </dataValidation>
  </dataValidations>
  <printOptions horizontalCentered="1"/>
  <pageMargins left="0.39370078740157483" right="0.39370078740157483" top="1.0236220472440944" bottom="0.62992125984251968" header="0.31496062992125984" footer="0.31496062992125984"/>
  <pageSetup paperSize="9" scale="68" fitToHeight="0" orientation="landscape" r:id="rId1"/>
  <headerFooter>
    <oddHeader>&amp;L&amp;"-,Bold"&amp;12Dodid Pte Ltd&amp;R&amp;"-,Bold"&amp;12Confidential</oddHeader>
    <oddFooter xml:space="preserve">&amp;LRisk Assessment Table
  &amp;RPage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B8"/>
  <sheetViews>
    <sheetView showGridLines="0" tabSelected="1" workbookViewId="0">
      <pane xSplit="3" ySplit="15" topLeftCell="D16" activePane="bottomRight" state="frozen"/>
      <selection pane="topRight" activeCell="D1" sqref="D1"/>
      <selection pane="bottomLeft" activeCell="A16" sqref="A16"/>
      <selection pane="bottomRight" activeCell="A3" sqref="A3"/>
    </sheetView>
  </sheetViews>
  <sheetFormatPr defaultRowHeight="12.75"/>
  <cols>
    <col min="1" max="1" width="23.85546875" style="146" customWidth="1"/>
    <col min="2" max="2" width="88.42578125" style="146" customWidth="1"/>
    <col min="3" max="16384" width="9.140625" style="146"/>
  </cols>
  <sheetData>
    <row r="1" spans="1:2" ht="15.75" customHeight="1">
      <c r="A1" s="145" t="s">
        <v>855</v>
      </c>
      <c r="B1" s="145" t="s">
        <v>856</v>
      </c>
    </row>
    <row r="2" spans="1:2" ht="15.75" customHeight="1">
      <c r="A2" s="147" t="s">
        <v>857</v>
      </c>
      <c r="B2" s="147" t="s">
        <v>858</v>
      </c>
    </row>
    <row r="3" spans="1:2" ht="15.75" customHeight="1">
      <c r="A3" s="147" t="s">
        <v>859</v>
      </c>
      <c r="B3" s="147" t="s">
        <v>860</v>
      </c>
    </row>
    <row r="4" spans="1:2" ht="15.75" customHeight="1">
      <c r="A4" s="147"/>
      <c r="B4" s="147"/>
    </row>
    <row r="5" spans="1:2" ht="15.75" customHeight="1">
      <c r="A5" s="147"/>
      <c r="B5" s="147"/>
    </row>
    <row r="6" spans="1:2" ht="15.75" customHeight="1">
      <c r="A6" s="147"/>
      <c r="B6" s="147"/>
    </row>
    <row r="7" spans="1:2" ht="15.75" customHeight="1">
      <c r="A7" s="147"/>
      <c r="B7" s="147"/>
    </row>
    <row r="8" spans="1:2" ht="15.75" customHeight="1">
      <c r="A8" s="147"/>
      <c r="B8" s="14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R173"/>
  <sheetViews>
    <sheetView showGridLines="0" zoomScaleNormal="100" workbookViewId="0">
      <pane xSplit="5" ySplit="2" topLeftCell="F3" activePane="bottomRight" state="frozenSplit"/>
      <selection activeCell="C10" sqref="C10:E10"/>
      <selection pane="topRight" activeCell="C10" sqref="C10:E10"/>
      <selection pane="bottomLeft" activeCell="C10" sqref="C10:E10"/>
      <selection pane="bottomRight" activeCell="C60" sqref="C60"/>
    </sheetView>
  </sheetViews>
  <sheetFormatPr defaultRowHeight="14.25"/>
  <cols>
    <col min="1" max="1" width="5.5703125" style="104" customWidth="1"/>
    <col min="2" max="2" width="13.85546875" style="105" customWidth="1"/>
    <col min="3" max="3" width="12.42578125" style="105" customWidth="1"/>
    <col min="4" max="4" width="19.5703125" style="105" customWidth="1"/>
    <col min="5" max="5" width="42" style="105" customWidth="1"/>
    <col min="6" max="6" width="11.42578125" style="105" customWidth="1"/>
    <col min="7" max="9" width="11.42578125" style="104" customWidth="1"/>
    <col min="10" max="10" width="9" style="104" customWidth="1"/>
    <col min="11" max="11" width="12.5703125" style="104" customWidth="1"/>
    <col min="12" max="12" width="7.5703125" style="104" customWidth="1"/>
    <col min="13" max="13" width="36.5703125" style="105" customWidth="1"/>
    <col min="14" max="14" width="22.7109375" style="76" customWidth="1"/>
    <col min="15" max="15" width="22" style="76" customWidth="1"/>
    <col min="16" max="16" width="8.5703125" style="76" customWidth="1"/>
    <col min="17" max="17" width="12.5703125" style="76" customWidth="1"/>
    <col min="18" max="18" width="13.5703125" style="76" customWidth="1"/>
    <col min="19" max="16384" width="9.140625" style="76"/>
  </cols>
  <sheetData>
    <row r="1" spans="1:18" ht="18">
      <c r="A1" s="138" t="s">
        <v>704</v>
      </c>
      <c r="B1" s="139"/>
      <c r="C1" s="139"/>
      <c r="D1" s="139"/>
      <c r="E1" s="139"/>
      <c r="F1" s="139"/>
      <c r="G1" s="139"/>
      <c r="H1" s="139"/>
      <c r="I1" s="139"/>
      <c r="J1" s="139"/>
      <c r="K1" s="139"/>
      <c r="L1" s="139"/>
      <c r="M1" s="140"/>
      <c r="N1" s="141" t="s">
        <v>660</v>
      </c>
      <c r="O1" s="142"/>
      <c r="P1" s="142"/>
      <c r="Q1" s="142"/>
      <c r="R1" s="142"/>
    </row>
    <row r="2" spans="1:18" s="79" customFormat="1" ht="45">
      <c r="A2" s="77" t="s">
        <v>0</v>
      </c>
      <c r="B2" s="77" t="s">
        <v>437</v>
      </c>
      <c r="C2" s="77" t="s">
        <v>1</v>
      </c>
      <c r="D2" s="77" t="s">
        <v>2</v>
      </c>
      <c r="E2" s="77" t="s">
        <v>3</v>
      </c>
      <c r="F2" s="77" t="s">
        <v>4</v>
      </c>
      <c r="G2" s="77" t="s">
        <v>551</v>
      </c>
      <c r="H2" s="77" t="s">
        <v>552</v>
      </c>
      <c r="I2" s="77" t="s">
        <v>568</v>
      </c>
      <c r="J2" s="77" t="s">
        <v>5</v>
      </c>
      <c r="K2" s="77" t="s">
        <v>6</v>
      </c>
      <c r="L2" s="77" t="s">
        <v>7</v>
      </c>
      <c r="M2" s="77" t="s">
        <v>8</v>
      </c>
      <c r="N2" s="78" t="s">
        <v>661</v>
      </c>
      <c r="O2" s="78" t="s">
        <v>662</v>
      </c>
      <c r="P2" s="78" t="s">
        <v>663</v>
      </c>
      <c r="Q2" s="78" t="s">
        <v>666</v>
      </c>
      <c r="R2" s="78" t="s">
        <v>664</v>
      </c>
    </row>
    <row r="3" spans="1:18" s="89" customFormat="1" ht="102" customHeight="1">
      <c r="A3" s="80">
        <v>1</v>
      </c>
      <c r="B3" s="81" t="s">
        <v>749</v>
      </c>
      <c r="C3" s="82" t="s">
        <v>592</v>
      </c>
      <c r="D3" s="83" t="s">
        <v>112</v>
      </c>
      <c r="E3" s="83" t="s">
        <v>569</v>
      </c>
      <c r="F3" s="82" t="s">
        <v>841</v>
      </c>
      <c r="G3" s="84">
        <v>5</v>
      </c>
      <c r="H3" s="84">
        <v>5</v>
      </c>
      <c r="I3" s="84">
        <v>5</v>
      </c>
      <c r="J3" s="85">
        <f>IF(MAX(G3:I3)=0,"",MAX(G3:I3))</f>
        <v>5</v>
      </c>
      <c r="K3" s="85">
        <v>1</v>
      </c>
      <c r="L3" s="84">
        <f>IFERROR(J3*K3,"")</f>
        <v>5</v>
      </c>
      <c r="M3" s="86" t="s">
        <v>571</v>
      </c>
      <c r="N3" s="87" t="s">
        <v>673</v>
      </c>
      <c r="O3" s="87" t="s">
        <v>665</v>
      </c>
      <c r="P3" s="82" t="s">
        <v>744</v>
      </c>
      <c r="Q3" s="82" t="s">
        <v>681</v>
      </c>
      <c r="R3" s="88"/>
    </row>
    <row r="4" spans="1:18" s="89" customFormat="1" ht="42.75">
      <c r="A4" s="90"/>
      <c r="B4" s="91"/>
      <c r="C4" s="92"/>
      <c r="D4" s="83" t="s">
        <v>11</v>
      </c>
      <c r="E4" s="83" t="s">
        <v>67</v>
      </c>
      <c r="F4" s="92" t="str">
        <f>IF($C4&lt;&gt;"",C4,"")</f>
        <v/>
      </c>
      <c r="G4" s="84">
        <v>1</v>
      </c>
      <c r="H4" s="84">
        <v>1</v>
      </c>
      <c r="I4" s="84">
        <v>5</v>
      </c>
      <c r="J4" s="85">
        <f t="shared" ref="J4:J14" si="0">IF(MAX(G4:I4)=0,"",MAX(G4:I4))</f>
        <v>5</v>
      </c>
      <c r="K4" s="85">
        <v>1</v>
      </c>
      <c r="L4" s="84">
        <f t="shared" ref="L4:L14" si="1">IFERROR(J4*K4,"")</f>
        <v>5</v>
      </c>
      <c r="M4" s="86" t="s">
        <v>786</v>
      </c>
      <c r="N4" s="87" t="s">
        <v>673</v>
      </c>
      <c r="O4" s="87" t="s">
        <v>672</v>
      </c>
      <c r="P4" s="82"/>
      <c r="Q4" s="82" t="s">
        <v>679</v>
      </c>
      <c r="R4" s="93"/>
    </row>
    <row r="5" spans="1:18" s="89" customFormat="1" ht="57">
      <c r="A5" s="90"/>
      <c r="B5" s="91"/>
      <c r="C5" s="92"/>
      <c r="D5" s="83" t="s">
        <v>25</v>
      </c>
      <c r="E5" s="83" t="s">
        <v>69</v>
      </c>
      <c r="F5" s="92" t="str">
        <f>IF($C5&lt;&gt;"",C5,"")</f>
        <v/>
      </c>
      <c r="G5" s="84">
        <v>1</v>
      </c>
      <c r="H5" s="84">
        <v>1</v>
      </c>
      <c r="I5" s="84">
        <v>5</v>
      </c>
      <c r="J5" s="85">
        <f t="shared" si="0"/>
        <v>5</v>
      </c>
      <c r="K5" s="85">
        <v>1</v>
      </c>
      <c r="L5" s="84">
        <f t="shared" si="1"/>
        <v>5</v>
      </c>
      <c r="M5" s="86" t="s">
        <v>570</v>
      </c>
      <c r="N5" s="87" t="s">
        <v>673</v>
      </c>
      <c r="O5" s="87" t="s">
        <v>677</v>
      </c>
      <c r="P5" s="82"/>
      <c r="Q5" s="82" t="s">
        <v>679</v>
      </c>
      <c r="R5" s="93"/>
    </row>
    <row r="6" spans="1:18" s="89" customFormat="1" ht="71.25">
      <c r="A6" s="90"/>
      <c r="B6" s="91"/>
      <c r="C6" s="92"/>
      <c r="D6" s="83" t="s">
        <v>25</v>
      </c>
      <c r="E6" s="83" t="s">
        <v>81</v>
      </c>
      <c r="F6" s="92"/>
      <c r="G6" s="84">
        <v>1</v>
      </c>
      <c r="H6" s="84">
        <v>1</v>
      </c>
      <c r="I6" s="84">
        <v>5</v>
      </c>
      <c r="J6" s="85">
        <f t="shared" si="0"/>
        <v>5</v>
      </c>
      <c r="K6" s="85">
        <v>1</v>
      </c>
      <c r="L6" s="84">
        <f t="shared" si="1"/>
        <v>5</v>
      </c>
      <c r="M6" s="86" t="s">
        <v>787</v>
      </c>
      <c r="N6" s="87" t="s">
        <v>673</v>
      </c>
      <c r="O6" s="87" t="s">
        <v>677</v>
      </c>
      <c r="P6" s="82"/>
      <c r="Q6" s="82" t="s">
        <v>679</v>
      </c>
      <c r="R6" s="93"/>
    </row>
    <row r="7" spans="1:18" s="89" customFormat="1" ht="57">
      <c r="A7" s="90"/>
      <c r="B7" s="91"/>
      <c r="C7" s="92"/>
      <c r="D7" s="83" t="s">
        <v>25</v>
      </c>
      <c r="E7" s="83" t="s">
        <v>90</v>
      </c>
      <c r="F7" s="92"/>
      <c r="G7" s="84">
        <v>1</v>
      </c>
      <c r="H7" s="84">
        <v>1</v>
      </c>
      <c r="I7" s="84">
        <v>5</v>
      </c>
      <c r="J7" s="85">
        <f t="shared" si="0"/>
        <v>5</v>
      </c>
      <c r="K7" s="85">
        <v>1</v>
      </c>
      <c r="L7" s="84">
        <f t="shared" si="1"/>
        <v>5</v>
      </c>
      <c r="M7" s="86" t="s">
        <v>572</v>
      </c>
      <c r="N7" s="87" t="s">
        <v>673</v>
      </c>
      <c r="O7" s="87" t="s">
        <v>677</v>
      </c>
      <c r="P7" s="82"/>
      <c r="Q7" s="82" t="s">
        <v>679</v>
      </c>
      <c r="R7" s="93"/>
    </row>
    <row r="8" spans="1:18" s="89" customFormat="1" ht="71.25">
      <c r="A8" s="90"/>
      <c r="B8" s="91"/>
      <c r="C8" s="92"/>
      <c r="D8" s="83" t="s">
        <v>25</v>
      </c>
      <c r="E8" s="83" t="s">
        <v>91</v>
      </c>
      <c r="F8" s="92"/>
      <c r="G8" s="84">
        <v>1</v>
      </c>
      <c r="H8" s="84">
        <v>1</v>
      </c>
      <c r="I8" s="84">
        <v>5</v>
      </c>
      <c r="J8" s="85">
        <f t="shared" si="0"/>
        <v>5</v>
      </c>
      <c r="K8" s="85">
        <v>1</v>
      </c>
      <c r="L8" s="84">
        <f t="shared" si="1"/>
        <v>5</v>
      </c>
      <c r="M8" s="86" t="s">
        <v>788</v>
      </c>
      <c r="N8" s="87" t="s">
        <v>673</v>
      </c>
      <c r="O8" s="87" t="s">
        <v>677</v>
      </c>
      <c r="P8" s="82"/>
      <c r="Q8" s="82" t="s">
        <v>679</v>
      </c>
      <c r="R8" s="93"/>
    </row>
    <row r="9" spans="1:18" s="89" customFormat="1" ht="127.5" customHeight="1">
      <c r="A9" s="90"/>
      <c r="B9" s="91"/>
      <c r="C9" s="92"/>
      <c r="D9" s="83" t="s">
        <v>27</v>
      </c>
      <c r="E9" s="83" t="s">
        <v>80</v>
      </c>
      <c r="F9" s="92" t="str">
        <f t="shared" ref="F9:F14" si="2">IF($C9&lt;&gt;"",C9,"")</f>
        <v/>
      </c>
      <c r="G9" s="84">
        <v>1</v>
      </c>
      <c r="H9" s="84">
        <v>1</v>
      </c>
      <c r="I9" s="84">
        <v>5</v>
      </c>
      <c r="J9" s="85">
        <f t="shared" si="0"/>
        <v>5</v>
      </c>
      <c r="K9" s="85">
        <v>1</v>
      </c>
      <c r="L9" s="84">
        <f t="shared" si="1"/>
        <v>5</v>
      </c>
      <c r="M9" s="86" t="s">
        <v>789</v>
      </c>
      <c r="N9" s="87" t="s">
        <v>676</v>
      </c>
      <c r="O9" s="87" t="s">
        <v>678</v>
      </c>
      <c r="P9" s="82"/>
      <c r="Q9" s="82" t="s">
        <v>680</v>
      </c>
      <c r="R9" s="93"/>
    </row>
    <row r="10" spans="1:18" s="89" customFormat="1" ht="72.75" customHeight="1">
      <c r="A10" s="90"/>
      <c r="B10" s="91"/>
      <c r="C10" s="92"/>
      <c r="D10" s="83" t="s">
        <v>32</v>
      </c>
      <c r="E10" s="83" t="s">
        <v>91</v>
      </c>
      <c r="F10" s="92" t="str">
        <f t="shared" si="2"/>
        <v/>
      </c>
      <c r="G10" s="84">
        <v>1</v>
      </c>
      <c r="H10" s="84">
        <v>1</v>
      </c>
      <c r="I10" s="84">
        <v>5</v>
      </c>
      <c r="J10" s="85">
        <f t="shared" si="0"/>
        <v>5</v>
      </c>
      <c r="K10" s="85">
        <v>1</v>
      </c>
      <c r="L10" s="84">
        <f t="shared" si="1"/>
        <v>5</v>
      </c>
      <c r="M10" s="86" t="s">
        <v>576</v>
      </c>
      <c r="N10" s="87" t="s">
        <v>676</v>
      </c>
      <c r="O10" s="87" t="s">
        <v>678</v>
      </c>
      <c r="P10" s="82"/>
      <c r="Q10" s="82" t="s">
        <v>680</v>
      </c>
      <c r="R10" s="87"/>
    </row>
    <row r="11" spans="1:18" s="89" customFormat="1" ht="72.75" customHeight="1">
      <c r="A11" s="90"/>
      <c r="B11" s="91"/>
      <c r="C11" s="92"/>
      <c r="D11" s="83" t="s">
        <v>38</v>
      </c>
      <c r="E11" s="83" t="s">
        <v>68</v>
      </c>
      <c r="F11" s="92" t="str">
        <f t="shared" si="2"/>
        <v/>
      </c>
      <c r="G11" s="84">
        <v>5</v>
      </c>
      <c r="H11" s="84">
        <v>1</v>
      </c>
      <c r="I11" s="84">
        <v>1</v>
      </c>
      <c r="J11" s="85">
        <f t="shared" si="0"/>
        <v>5</v>
      </c>
      <c r="K11" s="85">
        <v>1</v>
      </c>
      <c r="L11" s="94">
        <f t="shared" si="1"/>
        <v>5</v>
      </c>
      <c r="M11" s="86" t="s">
        <v>826</v>
      </c>
      <c r="N11" s="87" t="s">
        <v>673</v>
      </c>
      <c r="O11" s="87" t="s">
        <v>682</v>
      </c>
      <c r="P11" s="82"/>
      <c r="Q11" s="82" t="s">
        <v>679</v>
      </c>
      <c r="R11" s="87"/>
    </row>
    <row r="12" spans="1:18" s="89" customFormat="1" ht="80.25" customHeight="1">
      <c r="A12" s="90"/>
      <c r="B12" s="91"/>
      <c r="C12" s="92"/>
      <c r="D12" s="83" t="s">
        <v>38</v>
      </c>
      <c r="E12" s="83" t="s">
        <v>72</v>
      </c>
      <c r="F12" s="92" t="str">
        <f t="shared" si="2"/>
        <v/>
      </c>
      <c r="G12" s="84">
        <v>5</v>
      </c>
      <c r="H12" s="84">
        <v>5</v>
      </c>
      <c r="I12" s="84">
        <v>5</v>
      </c>
      <c r="J12" s="85">
        <f t="shared" si="0"/>
        <v>5</v>
      </c>
      <c r="K12" s="85">
        <v>1</v>
      </c>
      <c r="L12" s="94">
        <f t="shared" si="1"/>
        <v>5</v>
      </c>
      <c r="M12" s="86" t="s">
        <v>577</v>
      </c>
      <c r="N12" s="87" t="s">
        <v>673</v>
      </c>
      <c r="O12" s="87" t="s">
        <v>683</v>
      </c>
      <c r="P12" s="82"/>
      <c r="Q12" s="82" t="s">
        <v>679</v>
      </c>
      <c r="R12" s="87"/>
    </row>
    <row r="13" spans="1:18" s="89" customFormat="1" ht="57">
      <c r="A13" s="90"/>
      <c r="B13" s="91"/>
      <c r="C13" s="92"/>
      <c r="D13" s="83" t="s">
        <v>21</v>
      </c>
      <c r="E13" s="83" t="s">
        <v>579</v>
      </c>
      <c r="F13" s="92" t="str">
        <f t="shared" si="2"/>
        <v/>
      </c>
      <c r="G13" s="84">
        <v>1</v>
      </c>
      <c r="H13" s="84">
        <v>1</v>
      </c>
      <c r="I13" s="84">
        <v>5</v>
      </c>
      <c r="J13" s="85">
        <f t="shared" si="0"/>
        <v>5</v>
      </c>
      <c r="K13" s="85">
        <v>1</v>
      </c>
      <c r="L13" s="94">
        <f t="shared" si="1"/>
        <v>5</v>
      </c>
      <c r="M13" s="86" t="s">
        <v>580</v>
      </c>
      <c r="N13" s="87" t="s">
        <v>673</v>
      </c>
      <c r="O13" s="93" t="s">
        <v>677</v>
      </c>
      <c r="P13" s="82"/>
      <c r="Q13" s="82" t="s">
        <v>679</v>
      </c>
      <c r="R13" s="93"/>
    </row>
    <row r="14" spans="1:18" s="115" customFormat="1" ht="128.25">
      <c r="A14" s="90"/>
      <c r="B14" s="91"/>
      <c r="C14" s="92"/>
      <c r="D14" s="82" t="s">
        <v>31</v>
      </c>
      <c r="E14" s="82" t="s">
        <v>581</v>
      </c>
      <c r="F14" s="92" t="str">
        <f t="shared" si="2"/>
        <v/>
      </c>
      <c r="G14" s="80">
        <v>5</v>
      </c>
      <c r="H14" s="80">
        <v>5</v>
      </c>
      <c r="I14" s="80">
        <v>1</v>
      </c>
      <c r="J14" s="98">
        <f t="shared" si="0"/>
        <v>5</v>
      </c>
      <c r="K14" s="98">
        <v>1</v>
      </c>
      <c r="L14" s="99">
        <f t="shared" si="1"/>
        <v>5</v>
      </c>
      <c r="M14" s="100" t="s">
        <v>582</v>
      </c>
      <c r="N14" s="101" t="s">
        <v>673</v>
      </c>
      <c r="O14" s="101" t="s">
        <v>684</v>
      </c>
      <c r="P14" s="82"/>
      <c r="Q14" s="82" t="s">
        <v>679</v>
      </c>
      <c r="R14" s="101"/>
    </row>
    <row r="15" spans="1:18" s="115" customFormat="1">
      <c r="A15" s="95"/>
      <c r="B15" s="96"/>
      <c r="C15" s="97"/>
      <c r="D15" s="97"/>
      <c r="E15" s="97"/>
      <c r="F15" s="97"/>
      <c r="G15" s="95"/>
      <c r="H15" s="95"/>
      <c r="I15" s="95"/>
      <c r="J15" s="116"/>
      <c r="K15" s="116"/>
      <c r="L15" s="117"/>
      <c r="M15" s="118"/>
      <c r="N15" s="119"/>
      <c r="O15" s="119"/>
      <c r="P15" s="92"/>
      <c r="Q15" s="92"/>
      <c r="R15" s="119"/>
    </row>
    <row r="16" spans="1:18" s="89" customFormat="1" ht="70.5" customHeight="1">
      <c r="A16" s="80">
        <v>4</v>
      </c>
      <c r="B16" s="81" t="s">
        <v>833</v>
      </c>
      <c r="C16" s="82" t="s">
        <v>592</v>
      </c>
      <c r="D16" s="83" t="s">
        <v>112</v>
      </c>
      <c r="E16" s="83" t="s">
        <v>600</v>
      </c>
      <c r="F16" s="82" t="s">
        <v>744</v>
      </c>
      <c r="G16" s="84">
        <v>5</v>
      </c>
      <c r="H16" s="84">
        <v>5</v>
      </c>
      <c r="I16" s="84">
        <v>5</v>
      </c>
      <c r="J16" s="85">
        <f>IF(MAX(G16:I16)=0,"",MAX(G16:I16))</f>
        <v>5</v>
      </c>
      <c r="K16" s="85">
        <v>1</v>
      </c>
      <c r="L16" s="84">
        <f>IFERROR(J16*K16,"")</f>
        <v>5</v>
      </c>
      <c r="M16" s="86" t="s">
        <v>571</v>
      </c>
      <c r="N16" s="87" t="s">
        <v>673</v>
      </c>
      <c r="O16" s="87" t="s">
        <v>686</v>
      </c>
      <c r="P16" s="82" t="s">
        <v>592</v>
      </c>
      <c r="Q16" s="82" t="s">
        <v>681</v>
      </c>
      <c r="R16" s="88"/>
    </row>
    <row r="17" spans="1:18" s="89" customFormat="1" ht="57">
      <c r="A17" s="90"/>
      <c r="B17" s="91"/>
      <c r="C17" s="92"/>
      <c r="D17" s="83" t="s">
        <v>36</v>
      </c>
      <c r="E17" s="83" t="s">
        <v>67</v>
      </c>
      <c r="F17" s="92" t="str">
        <f>IF($C17&lt;&gt;"",C17,"")</f>
        <v/>
      </c>
      <c r="G17" s="84">
        <v>1</v>
      </c>
      <c r="H17" s="84">
        <v>1</v>
      </c>
      <c r="I17" s="84">
        <v>5</v>
      </c>
      <c r="J17" s="85">
        <f t="shared" ref="J17:J27" si="3">IF(MAX(G17:I17)=0,"",MAX(G17:I17))</f>
        <v>5</v>
      </c>
      <c r="K17" s="85">
        <v>1</v>
      </c>
      <c r="L17" s="84">
        <f t="shared" ref="L17:L27" si="4">IFERROR(J17*K17,"")</f>
        <v>5</v>
      </c>
      <c r="M17" s="86" t="s">
        <v>601</v>
      </c>
      <c r="N17" s="87" t="s">
        <v>673</v>
      </c>
      <c r="O17" s="87" t="s">
        <v>677</v>
      </c>
      <c r="P17" s="82"/>
      <c r="Q17" s="82" t="s">
        <v>679</v>
      </c>
      <c r="R17" s="87"/>
    </row>
    <row r="18" spans="1:18" s="89" customFormat="1" ht="57">
      <c r="A18" s="90"/>
      <c r="B18" s="91"/>
      <c r="C18" s="92"/>
      <c r="D18" s="83" t="s">
        <v>25</v>
      </c>
      <c r="E18" s="83" t="s">
        <v>69</v>
      </c>
      <c r="F18" s="92" t="str">
        <f>IF($C18&lt;&gt;"",C18,"")</f>
        <v/>
      </c>
      <c r="G18" s="84">
        <v>1</v>
      </c>
      <c r="H18" s="84">
        <v>1</v>
      </c>
      <c r="I18" s="84">
        <v>5</v>
      </c>
      <c r="J18" s="85">
        <f t="shared" si="3"/>
        <v>5</v>
      </c>
      <c r="K18" s="85">
        <v>1</v>
      </c>
      <c r="L18" s="84">
        <f t="shared" si="4"/>
        <v>5</v>
      </c>
      <c r="M18" s="86" t="s">
        <v>598</v>
      </c>
      <c r="N18" s="87" t="s">
        <v>673</v>
      </c>
      <c r="O18" s="87" t="s">
        <v>677</v>
      </c>
      <c r="P18" s="82"/>
      <c r="Q18" s="82" t="s">
        <v>679</v>
      </c>
      <c r="R18" s="87"/>
    </row>
    <row r="19" spans="1:18" s="89" customFormat="1" ht="57">
      <c r="A19" s="90"/>
      <c r="B19" s="91"/>
      <c r="C19" s="92"/>
      <c r="D19" s="83" t="s">
        <v>25</v>
      </c>
      <c r="E19" s="83" t="s">
        <v>81</v>
      </c>
      <c r="F19" s="92"/>
      <c r="G19" s="84">
        <v>1</v>
      </c>
      <c r="H19" s="84">
        <v>1</v>
      </c>
      <c r="I19" s="84">
        <v>5</v>
      </c>
      <c r="J19" s="85">
        <f t="shared" si="3"/>
        <v>5</v>
      </c>
      <c r="K19" s="85">
        <v>1</v>
      </c>
      <c r="L19" s="84">
        <f t="shared" si="4"/>
        <v>5</v>
      </c>
      <c r="M19" s="86" t="s">
        <v>801</v>
      </c>
      <c r="N19" s="87" t="s">
        <v>673</v>
      </c>
      <c r="O19" s="87" t="s">
        <v>677</v>
      </c>
      <c r="P19" s="82"/>
      <c r="Q19" s="82" t="s">
        <v>679</v>
      </c>
      <c r="R19" s="87"/>
    </row>
    <row r="20" spans="1:18" s="89" customFormat="1" ht="110.25" customHeight="1">
      <c r="A20" s="90"/>
      <c r="B20" s="91"/>
      <c r="C20" s="92"/>
      <c r="D20" s="83" t="s">
        <v>25</v>
      </c>
      <c r="E20" s="83" t="s">
        <v>90</v>
      </c>
      <c r="F20" s="92"/>
      <c r="G20" s="84">
        <v>1</v>
      </c>
      <c r="H20" s="84">
        <v>1</v>
      </c>
      <c r="I20" s="84">
        <v>5</v>
      </c>
      <c r="J20" s="85">
        <f t="shared" si="3"/>
        <v>5</v>
      </c>
      <c r="K20" s="85">
        <v>1</v>
      </c>
      <c r="L20" s="84">
        <f t="shared" si="4"/>
        <v>5</v>
      </c>
      <c r="M20" s="86" t="s">
        <v>802</v>
      </c>
      <c r="N20" s="87" t="s">
        <v>673</v>
      </c>
      <c r="O20" s="87" t="s">
        <v>677</v>
      </c>
      <c r="P20" s="82"/>
      <c r="Q20" s="82" t="s">
        <v>679</v>
      </c>
      <c r="R20" s="87"/>
    </row>
    <row r="21" spans="1:18" s="89" customFormat="1" ht="57">
      <c r="A21" s="90"/>
      <c r="B21" s="91"/>
      <c r="C21" s="92"/>
      <c r="D21" s="83" t="s">
        <v>25</v>
      </c>
      <c r="E21" s="83" t="s">
        <v>91</v>
      </c>
      <c r="F21" s="92"/>
      <c r="G21" s="84">
        <v>1</v>
      </c>
      <c r="H21" s="84">
        <v>1</v>
      </c>
      <c r="I21" s="84">
        <v>5</v>
      </c>
      <c r="J21" s="85">
        <f t="shared" si="3"/>
        <v>5</v>
      </c>
      <c r="K21" s="85">
        <v>1</v>
      </c>
      <c r="L21" s="84">
        <f t="shared" si="4"/>
        <v>5</v>
      </c>
      <c r="M21" s="86" t="s">
        <v>803</v>
      </c>
      <c r="N21" s="87" t="s">
        <v>676</v>
      </c>
      <c r="O21" s="87" t="s">
        <v>677</v>
      </c>
      <c r="P21" s="82"/>
      <c r="Q21" s="82" t="s">
        <v>679</v>
      </c>
      <c r="R21" s="87"/>
    </row>
    <row r="22" spans="1:18" s="89" customFormat="1" ht="57">
      <c r="A22" s="90"/>
      <c r="B22" s="91"/>
      <c r="C22" s="92"/>
      <c r="D22" s="83" t="s">
        <v>27</v>
      </c>
      <c r="E22" s="83" t="s">
        <v>80</v>
      </c>
      <c r="F22" s="92" t="str">
        <f t="shared" ref="F22:F27" si="5">IF($C22&lt;&gt;"",C22,"")</f>
        <v/>
      </c>
      <c r="G22" s="84">
        <v>1</v>
      </c>
      <c r="H22" s="84">
        <v>1</v>
      </c>
      <c r="I22" s="84">
        <v>5</v>
      </c>
      <c r="J22" s="85">
        <f t="shared" si="3"/>
        <v>5</v>
      </c>
      <c r="K22" s="85">
        <v>1</v>
      </c>
      <c r="L22" s="84">
        <f t="shared" si="4"/>
        <v>5</v>
      </c>
      <c r="M22" s="86" t="s">
        <v>602</v>
      </c>
      <c r="N22" s="87" t="s">
        <v>676</v>
      </c>
      <c r="O22" s="87" t="s">
        <v>678</v>
      </c>
      <c r="P22" s="82"/>
      <c r="Q22" s="82" t="s">
        <v>680</v>
      </c>
      <c r="R22" s="87"/>
    </row>
    <row r="23" spans="1:18" s="89" customFormat="1" ht="57">
      <c r="A23" s="90"/>
      <c r="B23" s="91"/>
      <c r="C23" s="92"/>
      <c r="D23" s="83" t="s">
        <v>32</v>
      </c>
      <c r="E23" s="83" t="s">
        <v>91</v>
      </c>
      <c r="F23" s="92" t="str">
        <f t="shared" si="5"/>
        <v/>
      </c>
      <c r="G23" s="84">
        <v>1</v>
      </c>
      <c r="H23" s="84">
        <v>1</v>
      </c>
      <c r="I23" s="84">
        <v>5</v>
      </c>
      <c r="J23" s="85">
        <f t="shared" si="3"/>
        <v>5</v>
      </c>
      <c r="K23" s="85">
        <v>1</v>
      </c>
      <c r="L23" s="84">
        <f t="shared" si="4"/>
        <v>5</v>
      </c>
      <c r="M23" s="86" t="s">
        <v>603</v>
      </c>
      <c r="N23" s="87" t="s">
        <v>676</v>
      </c>
      <c r="O23" s="87" t="s">
        <v>678</v>
      </c>
      <c r="P23" s="82"/>
      <c r="Q23" s="82" t="s">
        <v>680</v>
      </c>
      <c r="R23" s="87"/>
    </row>
    <row r="24" spans="1:18" s="89" customFormat="1" ht="57">
      <c r="A24" s="90"/>
      <c r="B24" s="91"/>
      <c r="C24" s="92"/>
      <c r="D24" s="83" t="s">
        <v>38</v>
      </c>
      <c r="E24" s="83" t="s">
        <v>68</v>
      </c>
      <c r="F24" s="92" t="str">
        <f t="shared" si="5"/>
        <v/>
      </c>
      <c r="G24" s="84">
        <v>5</v>
      </c>
      <c r="H24" s="84">
        <v>1</v>
      </c>
      <c r="I24" s="84">
        <v>1</v>
      </c>
      <c r="J24" s="85">
        <f t="shared" si="3"/>
        <v>5</v>
      </c>
      <c r="K24" s="85">
        <v>1</v>
      </c>
      <c r="L24" s="94">
        <f t="shared" si="4"/>
        <v>5</v>
      </c>
      <c r="M24" s="86" t="s">
        <v>826</v>
      </c>
      <c r="N24" s="87" t="s">
        <v>673</v>
      </c>
      <c r="O24" s="87" t="s">
        <v>682</v>
      </c>
      <c r="P24" s="82"/>
      <c r="Q24" s="82" t="s">
        <v>679</v>
      </c>
      <c r="R24" s="87"/>
    </row>
    <row r="25" spans="1:18" s="89" customFormat="1" ht="71.25">
      <c r="A25" s="90"/>
      <c r="B25" s="91"/>
      <c r="C25" s="92"/>
      <c r="D25" s="83" t="s">
        <v>38</v>
      </c>
      <c r="E25" s="83" t="s">
        <v>72</v>
      </c>
      <c r="F25" s="92" t="str">
        <f t="shared" si="5"/>
        <v/>
      </c>
      <c r="G25" s="84">
        <v>5</v>
      </c>
      <c r="H25" s="84">
        <v>5</v>
      </c>
      <c r="I25" s="84">
        <v>5</v>
      </c>
      <c r="J25" s="85">
        <f t="shared" si="3"/>
        <v>5</v>
      </c>
      <c r="K25" s="85">
        <v>1</v>
      </c>
      <c r="L25" s="94">
        <f t="shared" si="4"/>
        <v>5</v>
      </c>
      <c r="M25" s="86" t="s">
        <v>577</v>
      </c>
      <c r="N25" s="87" t="s">
        <v>673</v>
      </c>
      <c r="O25" s="87" t="s">
        <v>683</v>
      </c>
      <c r="P25" s="82"/>
      <c r="Q25" s="82" t="s">
        <v>679</v>
      </c>
      <c r="R25" s="87"/>
    </row>
    <row r="26" spans="1:18" s="89" customFormat="1" ht="42.75">
      <c r="A26" s="90"/>
      <c r="B26" s="91"/>
      <c r="C26" s="92"/>
      <c r="D26" s="83" t="s">
        <v>22</v>
      </c>
      <c r="E26" s="83" t="s">
        <v>68</v>
      </c>
      <c r="F26" s="92" t="str">
        <f t="shared" si="5"/>
        <v/>
      </c>
      <c r="G26" s="84">
        <v>5</v>
      </c>
      <c r="H26" s="84">
        <v>5</v>
      </c>
      <c r="I26" s="84">
        <v>1</v>
      </c>
      <c r="J26" s="85">
        <f t="shared" si="3"/>
        <v>5</v>
      </c>
      <c r="K26" s="85">
        <v>1</v>
      </c>
      <c r="L26" s="94">
        <f t="shared" si="4"/>
        <v>5</v>
      </c>
      <c r="M26" s="86" t="s">
        <v>604</v>
      </c>
      <c r="N26" s="87" t="s">
        <v>673</v>
      </c>
      <c r="O26" s="87" t="s">
        <v>682</v>
      </c>
      <c r="P26" s="82"/>
      <c r="Q26" s="82" t="s">
        <v>679</v>
      </c>
      <c r="R26" s="87"/>
    </row>
    <row r="27" spans="1:18" s="89" customFormat="1" ht="99.75">
      <c r="A27" s="95"/>
      <c r="B27" s="96"/>
      <c r="C27" s="97"/>
      <c r="D27" s="83" t="s">
        <v>33</v>
      </c>
      <c r="E27" s="83" t="s">
        <v>68</v>
      </c>
      <c r="F27" s="97" t="str">
        <f t="shared" si="5"/>
        <v/>
      </c>
      <c r="G27" s="84">
        <v>5</v>
      </c>
      <c r="H27" s="84">
        <v>5</v>
      </c>
      <c r="I27" s="84">
        <v>1</v>
      </c>
      <c r="J27" s="85">
        <f t="shared" si="3"/>
        <v>5</v>
      </c>
      <c r="K27" s="85">
        <v>1</v>
      </c>
      <c r="L27" s="94">
        <f t="shared" si="4"/>
        <v>5</v>
      </c>
      <c r="M27" s="86" t="s">
        <v>605</v>
      </c>
      <c r="N27" s="87" t="s">
        <v>673</v>
      </c>
      <c r="O27" s="87" t="s">
        <v>682</v>
      </c>
      <c r="P27" s="82"/>
      <c r="Q27" s="82" t="s">
        <v>679</v>
      </c>
      <c r="R27" s="87"/>
    </row>
    <row r="28" spans="1:18" s="89" customFormat="1" ht="69.75" customHeight="1">
      <c r="A28" s="80">
        <v>6</v>
      </c>
      <c r="B28" s="81" t="s">
        <v>754</v>
      </c>
      <c r="C28" s="82" t="s">
        <v>744</v>
      </c>
      <c r="D28" s="83" t="s">
        <v>112</v>
      </c>
      <c r="E28" s="83" t="s">
        <v>600</v>
      </c>
      <c r="F28" s="82" t="s">
        <v>744</v>
      </c>
      <c r="G28" s="84">
        <v>5</v>
      </c>
      <c r="H28" s="84">
        <v>5</v>
      </c>
      <c r="I28" s="84">
        <v>5</v>
      </c>
      <c r="J28" s="85">
        <f>IF(MAX(G28:I28)=0,"",MAX(G28:I28))</f>
        <v>5</v>
      </c>
      <c r="K28" s="85">
        <v>1</v>
      </c>
      <c r="L28" s="84">
        <f>IFERROR(J28*K28,"")</f>
        <v>5</v>
      </c>
      <c r="M28" s="86" t="s">
        <v>571</v>
      </c>
      <c r="N28" s="87" t="s">
        <v>673</v>
      </c>
      <c r="O28" s="87" t="s">
        <v>687</v>
      </c>
      <c r="P28" s="82" t="s">
        <v>744</v>
      </c>
      <c r="Q28" s="82" t="s">
        <v>681</v>
      </c>
      <c r="R28" s="88"/>
    </row>
    <row r="29" spans="1:18" s="89" customFormat="1" ht="57">
      <c r="A29" s="90"/>
      <c r="B29" s="91"/>
      <c r="C29" s="92"/>
      <c r="D29" s="83" t="s">
        <v>36</v>
      </c>
      <c r="E29" s="83" t="s">
        <v>67</v>
      </c>
      <c r="F29" s="92" t="str">
        <f>IF($C29&lt;&gt;"",C29,"")</f>
        <v/>
      </c>
      <c r="G29" s="84">
        <v>1</v>
      </c>
      <c r="H29" s="84">
        <v>1</v>
      </c>
      <c r="I29" s="84">
        <v>5</v>
      </c>
      <c r="J29" s="85">
        <f t="shared" ref="J29:J39" si="6">IF(MAX(G29:I29)=0,"",MAX(G29:I29))</f>
        <v>5</v>
      </c>
      <c r="K29" s="85">
        <v>1</v>
      </c>
      <c r="L29" s="84">
        <f t="shared" ref="L29:L39" si="7">IFERROR(J29*K29,"")</f>
        <v>5</v>
      </c>
      <c r="M29" s="86" t="s">
        <v>810</v>
      </c>
      <c r="N29" s="87" t="s">
        <v>673</v>
      </c>
      <c r="O29" s="87" t="s">
        <v>677</v>
      </c>
      <c r="P29" s="82"/>
      <c r="Q29" s="82" t="s">
        <v>679</v>
      </c>
      <c r="R29" s="87"/>
    </row>
    <row r="30" spans="1:18" s="89" customFormat="1" ht="57">
      <c r="A30" s="90"/>
      <c r="B30" s="91"/>
      <c r="C30" s="92"/>
      <c r="D30" s="83" t="s">
        <v>25</v>
      </c>
      <c r="E30" s="83" t="s">
        <v>69</v>
      </c>
      <c r="F30" s="92" t="str">
        <f>IF($C30&lt;&gt;"",C30,"")</f>
        <v/>
      </c>
      <c r="G30" s="84">
        <v>1</v>
      </c>
      <c r="H30" s="84">
        <v>1</v>
      </c>
      <c r="I30" s="84">
        <v>5</v>
      </c>
      <c r="J30" s="85">
        <f t="shared" si="6"/>
        <v>5</v>
      </c>
      <c r="K30" s="85">
        <v>1</v>
      </c>
      <c r="L30" s="84">
        <f t="shared" si="7"/>
        <v>5</v>
      </c>
      <c r="M30" s="86" t="s">
        <v>607</v>
      </c>
      <c r="N30" s="87" t="s">
        <v>673</v>
      </c>
      <c r="O30" s="87" t="s">
        <v>677</v>
      </c>
      <c r="P30" s="82"/>
      <c r="Q30" s="82" t="s">
        <v>679</v>
      </c>
      <c r="R30" s="87"/>
    </row>
    <row r="31" spans="1:18" s="89" customFormat="1" ht="57">
      <c r="A31" s="90"/>
      <c r="B31" s="91"/>
      <c r="C31" s="92"/>
      <c r="D31" s="83" t="s">
        <v>25</v>
      </c>
      <c r="E31" s="83" t="s">
        <v>81</v>
      </c>
      <c r="F31" s="92"/>
      <c r="G31" s="84">
        <v>1</v>
      </c>
      <c r="H31" s="84">
        <v>1</v>
      </c>
      <c r="I31" s="84">
        <v>5</v>
      </c>
      <c r="J31" s="85">
        <f t="shared" si="6"/>
        <v>5</v>
      </c>
      <c r="K31" s="85">
        <v>1</v>
      </c>
      <c r="L31" s="84">
        <f t="shared" si="7"/>
        <v>5</v>
      </c>
      <c r="M31" s="86" t="s">
        <v>608</v>
      </c>
      <c r="N31" s="87" t="s">
        <v>673</v>
      </c>
      <c r="O31" s="87" t="s">
        <v>677</v>
      </c>
      <c r="P31" s="82"/>
      <c r="Q31" s="82" t="s">
        <v>679</v>
      </c>
      <c r="R31" s="87"/>
    </row>
    <row r="32" spans="1:18" s="89" customFormat="1" ht="57">
      <c r="A32" s="90"/>
      <c r="B32" s="91"/>
      <c r="C32" s="92"/>
      <c r="D32" s="83" t="s">
        <v>25</v>
      </c>
      <c r="E32" s="83" t="s">
        <v>90</v>
      </c>
      <c r="F32" s="92"/>
      <c r="G32" s="84">
        <v>1</v>
      </c>
      <c r="H32" s="84">
        <v>1</v>
      </c>
      <c r="I32" s="84">
        <v>5</v>
      </c>
      <c r="J32" s="85">
        <f t="shared" si="6"/>
        <v>5</v>
      </c>
      <c r="K32" s="85">
        <v>1</v>
      </c>
      <c r="L32" s="84">
        <f t="shared" si="7"/>
        <v>5</v>
      </c>
      <c r="M32" s="86" t="s">
        <v>609</v>
      </c>
      <c r="N32" s="87" t="s">
        <v>673</v>
      </c>
      <c r="O32" s="87" t="s">
        <v>677</v>
      </c>
      <c r="P32" s="82"/>
      <c r="Q32" s="82" t="s">
        <v>679</v>
      </c>
      <c r="R32" s="87"/>
    </row>
    <row r="33" spans="1:18" s="89" customFormat="1" ht="57">
      <c r="A33" s="90"/>
      <c r="B33" s="91"/>
      <c r="C33" s="92"/>
      <c r="D33" s="83" t="s">
        <v>25</v>
      </c>
      <c r="E33" s="83" t="s">
        <v>91</v>
      </c>
      <c r="F33" s="92"/>
      <c r="G33" s="84">
        <v>1</v>
      </c>
      <c r="H33" s="84">
        <v>1</v>
      </c>
      <c r="I33" s="84">
        <v>5</v>
      </c>
      <c r="J33" s="85">
        <f t="shared" si="6"/>
        <v>5</v>
      </c>
      <c r="K33" s="85">
        <v>1</v>
      </c>
      <c r="L33" s="84">
        <f t="shared" si="7"/>
        <v>5</v>
      </c>
      <c r="M33" s="86" t="s">
        <v>574</v>
      </c>
      <c r="N33" s="87" t="s">
        <v>673</v>
      </c>
      <c r="O33" s="87" t="s">
        <v>677</v>
      </c>
      <c r="P33" s="82"/>
      <c r="Q33" s="82" t="s">
        <v>679</v>
      </c>
      <c r="R33" s="93"/>
    </row>
    <row r="34" spans="1:18" s="89" customFormat="1" ht="57">
      <c r="A34" s="90"/>
      <c r="B34" s="91"/>
      <c r="C34" s="92"/>
      <c r="D34" s="83" t="s">
        <v>27</v>
      </c>
      <c r="E34" s="83" t="s">
        <v>80</v>
      </c>
      <c r="F34" s="92" t="str">
        <f t="shared" ref="F34:F39" si="8">IF($C34&lt;&gt;"",C34,"")</f>
        <v/>
      </c>
      <c r="G34" s="84">
        <v>1</v>
      </c>
      <c r="H34" s="84">
        <v>1</v>
      </c>
      <c r="I34" s="84">
        <v>5</v>
      </c>
      <c r="J34" s="85">
        <f t="shared" si="6"/>
        <v>5</v>
      </c>
      <c r="K34" s="85">
        <v>1</v>
      </c>
      <c r="L34" s="84">
        <f t="shared" si="7"/>
        <v>5</v>
      </c>
      <c r="M34" s="86" t="s">
        <v>602</v>
      </c>
      <c r="N34" s="87" t="s">
        <v>676</v>
      </c>
      <c r="O34" s="87" t="s">
        <v>678</v>
      </c>
      <c r="P34" s="82"/>
      <c r="Q34" s="82" t="s">
        <v>680</v>
      </c>
      <c r="R34" s="87"/>
    </row>
    <row r="35" spans="1:18" s="89" customFormat="1" ht="57">
      <c r="A35" s="90"/>
      <c r="B35" s="91"/>
      <c r="C35" s="92"/>
      <c r="D35" s="83" t="s">
        <v>32</v>
      </c>
      <c r="E35" s="83" t="s">
        <v>91</v>
      </c>
      <c r="F35" s="92" t="str">
        <f t="shared" si="8"/>
        <v/>
      </c>
      <c r="G35" s="84">
        <v>1</v>
      </c>
      <c r="H35" s="84">
        <v>1</v>
      </c>
      <c r="I35" s="84">
        <v>5</v>
      </c>
      <c r="J35" s="85">
        <f t="shared" si="6"/>
        <v>5</v>
      </c>
      <c r="K35" s="85">
        <v>1</v>
      </c>
      <c r="L35" s="84">
        <f t="shared" si="7"/>
        <v>5</v>
      </c>
      <c r="M35" s="86" t="s">
        <v>603</v>
      </c>
      <c r="N35" s="87" t="s">
        <v>676</v>
      </c>
      <c r="O35" s="87" t="s">
        <v>678</v>
      </c>
      <c r="P35" s="82"/>
      <c r="Q35" s="82" t="s">
        <v>680</v>
      </c>
      <c r="R35" s="87"/>
    </row>
    <row r="36" spans="1:18" s="89" customFormat="1" ht="42.75">
      <c r="A36" s="90"/>
      <c r="B36" s="91"/>
      <c r="C36" s="92"/>
      <c r="D36" s="83" t="s">
        <v>19</v>
      </c>
      <c r="E36" s="83" t="s">
        <v>70</v>
      </c>
      <c r="F36" s="92" t="str">
        <f t="shared" si="8"/>
        <v/>
      </c>
      <c r="G36" s="84">
        <v>1</v>
      </c>
      <c r="H36" s="84">
        <v>1</v>
      </c>
      <c r="I36" s="84">
        <v>5</v>
      </c>
      <c r="J36" s="85">
        <f t="shared" si="6"/>
        <v>5</v>
      </c>
      <c r="K36" s="85">
        <v>1</v>
      </c>
      <c r="L36" s="84">
        <f t="shared" si="7"/>
        <v>5</v>
      </c>
      <c r="M36" s="86" t="s">
        <v>610</v>
      </c>
      <c r="N36" s="87" t="s">
        <v>673</v>
      </c>
      <c r="O36" s="87" t="s">
        <v>688</v>
      </c>
      <c r="P36" s="82"/>
      <c r="Q36" s="82" t="s">
        <v>670</v>
      </c>
      <c r="R36" s="87"/>
    </row>
    <row r="37" spans="1:18" s="89" customFormat="1" ht="57">
      <c r="A37" s="90"/>
      <c r="B37" s="91"/>
      <c r="C37" s="92"/>
      <c r="D37" s="83" t="s">
        <v>36</v>
      </c>
      <c r="E37" s="83" t="s">
        <v>67</v>
      </c>
      <c r="F37" s="92" t="str">
        <f t="shared" si="8"/>
        <v/>
      </c>
      <c r="G37" s="84">
        <v>1</v>
      </c>
      <c r="H37" s="84">
        <v>1</v>
      </c>
      <c r="I37" s="84">
        <v>5</v>
      </c>
      <c r="J37" s="85">
        <f t="shared" si="6"/>
        <v>5</v>
      </c>
      <c r="K37" s="85">
        <v>1</v>
      </c>
      <c r="L37" s="94">
        <f t="shared" si="7"/>
        <v>5</v>
      </c>
      <c r="M37" s="86" t="s">
        <v>821</v>
      </c>
      <c r="N37" s="87" t="s">
        <v>673</v>
      </c>
      <c r="O37" s="87" t="s">
        <v>677</v>
      </c>
      <c r="P37" s="82"/>
      <c r="Q37" s="82" t="s">
        <v>679</v>
      </c>
      <c r="R37" s="87"/>
    </row>
    <row r="38" spans="1:18" s="89" customFormat="1" ht="42.75">
      <c r="A38" s="90"/>
      <c r="B38" s="91"/>
      <c r="C38" s="92"/>
      <c r="D38" s="83" t="s">
        <v>50</v>
      </c>
      <c r="E38" s="102" t="s">
        <v>72</v>
      </c>
      <c r="F38" s="92" t="str">
        <f t="shared" si="8"/>
        <v/>
      </c>
      <c r="G38" s="84">
        <v>1</v>
      </c>
      <c r="H38" s="84">
        <v>1</v>
      </c>
      <c r="I38" s="84">
        <v>5</v>
      </c>
      <c r="J38" s="85">
        <f t="shared" si="6"/>
        <v>5</v>
      </c>
      <c r="K38" s="85">
        <v>1</v>
      </c>
      <c r="L38" s="94">
        <f t="shared" si="7"/>
        <v>5</v>
      </c>
      <c r="M38" s="86" t="s">
        <v>808</v>
      </c>
      <c r="N38" s="87" t="s">
        <v>673</v>
      </c>
      <c r="O38" s="87" t="s">
        <v>683</v>
      </c>
      <c r="P38" s="82"/>
      <c r="Q38" s="82" t="s">
        <v>679</v>
      </c>
      <c r="R38" s="87"/>
    </row>
    <row r="39" spans="1:18" s="89" customFormat="1">
      <c r="A39" s="95"/>
      <c r="B39" s="96"/>
      <c r="C39" s="97"/>
      <c r="D39" s="83"/>
      <c r="E39" s="83"/>
      <c r="F39" s="97" t="str">
        <f t="shared" si="8"/>
        <v/>
      </c>
      <c r="G39" s="84"/>
      <c r="H39" s="84"/>
      <c r="I39" s="84"/>
      <c r="J39" s="85" t="str">
        <f t="shared" si="6"/>
        <v/>
      </c>
      <c r="K39" s="85"/>
      <c r="L39" s="94" t="str">
        <f t="shared" si="7"/>
        <v/>
      </c>
      <c r="M39" s="86"/>
      <c r="N39" s="93"/>
      <c r="O39" s="93"/>
      <c r="P39" s="82"/>
      <c r="Q39" s="82"/>
      <c r="R39" s="93"/>
    </row>
    <row r="40" spans="1:18" s="89" customFormat="1" ht="69.75" customHeight="1">
      <c r="A40" s="80">
        <v>8</v>
      </c>
      <c r="B40" s="81" t="s">
        <v>848</v>
      </c>
      <c r="C40" s="82" t="s">
        <v>744</v>
      </c>
      <c r="D40" s="83" t="s">
        <v>112</v>
      </c>
      <c r="E40" s="83" t="s">
        <v>600</v>
      </c>
      <c r="F40" s="82" t="s">
        <v>744</v>
      </c>
      <c r="G40" s="84">
        <v>5</v>
      </c>
      <c r="H40" s="84">
        <v>5</v>
      </c>
      <c r="I40" s="84">
        <v>5</v>
      </c>
      <c r="J40" s="85">
        <f>IF(MAX(G40:I40)=0,"",MAX(G40:I40))</f>
        <v>5</v>
      </c>
      <c r="K40" s="85">
        <v>1</v>
      </c>
      <c r="L40" s="84">
        <f>IFERROR(J40*K40,"")</f>
        <v>5</v>
      </c>
      <c r="M40" s="86" t="s">
        <v>571</v>
      </c>
      <c r="N40" s="87" t="s">
        <v>673</v>
      </c>
      <c r="O40" s="87" t="s">
        <v>687</v>
      </c>
      <c r="P40" s="82" t="s">
        <v>744</v>
      </c>
      <c r="Q40" s="82" t="s">
        <v>681</v>
      </c>
      <c r="R40" s="88"/>
    </row>
    <row r="41" spans="1:18" s="89" customFormat="1" ht="42.75">
      <c r="A41" s="90"/>
      <c r="B41" s="91"/>
      <c r="C41" s="92"/>
      <c r="D41" s="83" t="s">
        <v>36</v>
      </c>
      <c r="E41" s="83" t="s">
        <v>67</v>
      </c>
      <c r="F41" s="92" t="str">
        <f>IF($C41&lt;&gt;"",C41,"")</f>
        <v/>
      </c>
      <c r="G41" s="84">
        <v>1</v>
      </c>
      <c r="H41" s="84">
        <v>1</v>
      </c>
      <c r="I41" s="84">
        <v>5</v>
      </c>
      <c r="J41" s="85">
        <f t="shared" ref="J41:J51" si="9">IF(MAX(G41:I41)=0,"",MAX(G41:I41))</f>
        <v>5</v>
      </c>
      <c r="K41" s="85">
        <v>1</v>
      </c>
      <c r="L41" s="84">
        <f t="shared" ref="L41:L51" si="10">IFERROR(J41*K41,"")</f>
        <v>5</v>
      </c>
      <c r="M41" s="86" t="s">
        <v>809</v>
      </c>
      <c r="N41" s="87" t="s">
        <v>673</v>
      </c>
      <c r="O41" s="87" t="s">
        <v>672</v>
      </c>
      <c r="P41" s="82"/>
      <c r="Q41" s="82" t="s">
        <v>679</v>
      </c>
      <c r="R41" s="87"/>
    </row>
    <row r="42" spans="1:18" s="89" customFormat="1" ht="57">
      <c r="A42" s="90"/>
      <c r="B42" s="91"/>
      <c r="C42" s="92"/>
      <c r="D42" s="83" t="s">
        <v>25</v>
      </c>
      <c r="E42" s="83" t="s">
        <v>69</v>
      </c>
      <c r="F42" s="92" t="str">
        <f>IF($C42&lt;&gt;"",C42,"")</f>
        <v/>
      </c>
      <c r="G42" s="84">
        <v>1</v>
      </c>
      <c r="H42" s="84">
        <v>1</v>
      </c>
      <c r="I42" s="84">
        <v>5</v>
      </c>
      <c r="J42" s="85">
        <f t="shared" si="9"/>
        <v>5</v>
      </c>
      <c r="K42" s="85">
        <v>1</v>
      </c>
      <c r="L42" s="84">
        <f t="shared" si="10"/>
        <v>5</v>
      </c>
      <c r="M42" s="86" t="s">
        <v>616</v>
      </c>
      <c r="N42" s="87" t="s">
        <v>673</v>
      </c>
      <c r="O42" s="93" t="s">
        <v>677</v>
      </c>
      <c r="P42" s="82"/>
      <c r="Q42" s="82" t="s">
        <v>679</v>
      </c>
      <c r="R42" s="93"/>
    </row>
    <row r="43" spans="1:18" s="89" customFormat="1" ht="57">
      <c r="A43" s="90"/>
      <c r="B43" s="91"/>
      <c r="C43" s="92"/>
      <c r="D43" s="83" t="s">
        <v>25</v>
      </c>
      <c r="E43" s="83" t="s">
        <v>81</v>
      </c>
      <c r="F43" s="92"/>
      <c r="G43" s="84">
        <v>1</v>
      </c>
      <c r="H43" s="84">
        <v>1</v>
      </c>
      <c r="I43" s="84">
        <v>5</v>
      </c>
      <c r="J43" s="85">
        <f t="shared" si="9"/>
        <v>5</v>
      </c>
      <c r="K43" s="85">
        <v>1</v>
      </c>
      <c r="L43" s="84">
        <f t="shared" si="10"/>
        <v>5</v>
      </c>
      <c r="M43" s="86" t="s">
        <v>614</v>
      </c>
      <c r="N43" s="87" t="s">
        <v>673</v>
      </c>
      <c r="O43" s="93" t="s">
        <v>677</v>
      </c>
      <c r="P43" s="82"/>
      <c r="Q43" s="82" t="s">
        <v>679</v>
      </c>
      <c r="R43" s="93"/>
    </row>
    <row r="44" spans="1:18" s="89" customFormat="1" ht="57">
      <c r="A44" s="90"/>
      <c r="B44" s="91"/>
      <c r="C44" s="92"/>
      <c r="D44" s="83" t="s">
        <v>25</v>
      </c>
      <c r="E44" s="83" t="s">
        <v>90</v>
      </c>
      <c r="F44" s="92"/>
      <c r="G44" s="84">
        <v>1</v>
      </c>
      <c r="H44" s="84">
        <v>1</v>
      </c>
      <c r="I44" s="84">
        <v>5</v>
      </c>
      <c r="J44" s="85">
        <f t="shared" si="9"/>
        <v>5</v>
      </c>
      <c r="K44" s="85">
        <v>1</v>
      </c>
      <c r="L44" s="84">
        <f t="shared" si="10"/>
        <v>5</v>
      </c>
      <c r="M44" s="86" t="s">
        <v>609</v>
      </c>
      <c r="N44" s="87" t="s">
        <v>673</v>
      </c>
      <c r="O44" s="93" t="s">
        <v>677</v>
      </c>
      <c r="P44" s="82"/>
      <c r="Q44" s="82" t="s">
        <v>679</v>
      </c>
      <c r="R44" s="93"/>
    </row>
    <row r="45" spans="1:18" s="89" customFormat="1" ht="57">
      <c r="A45" s="90"/>
      <c r="B45" s="91"/>
      <c r="C45" s="92"/>
      <c r="D45" s="83" t="s">
        <v>25</v>
      </c>
      <c r="E45" s="83" t="s">
        <v>91</v>
      </c>
      <c r="F45" s="92"/>
      <c r="G45" s="84">
        <v>1</v>
      </c>
      <c r="H45" s="84">
        <v>1</v>
      </c>
      <c r="I45" s="84">
        <v>5</v>
      </c>
      <c r="J45" s="85">
        <f t="shared" si="9"/>
        <v>5</v>
      </c>
      <c r="K45" s="85">
        <v>1</v>
      </c>
      <c r="L45" s="84">
        <f t="shared" si="10"/>
        <v>5</v>
      </c>
      <c r="M45" s="86" t="s">
        <v>574</v>
      </c>
      <c r="N45" s="87" t="s">
        <v>673</v>
      </c>
      <c r="O45" s="93" t="s">
        <v>677</v>
      </c>
      <c r="P45" s="82"/>
      <c r="Q45" s="82" t="s">
        <v>679</v>
      </c>
      <c r="R45" s="93"/>
    </row>
    <row r="46" spans="1:18" s="89" customFormat="1" ht="57">
      <c r="A46" s="90"/>
      <c r="B46" s="91"/>
      <c r="C46" s="92"/>
      <c r="D46" s="83" t="s">
        <v>27</v>
      </c>
      <c r="E46" s="83" t="s">
        <v>80</v>
      </c>
      <c r="F46" s="92" t="str">
        <f t="shared" ref="F46:F51" si="11">IF($C46&lt;&gt;"",C46,"")</f>
        <v/>
      </c>
      <c r="G46" s="84">
        <v>1</v>
      </c>
      <c r="H46" s="84">
        <v>1</v>
      </c>
      <c r="I46" s="84">
        <v>5</v>
      </c>
      <c r="J46" s="85">
        <f t="shared" si="9"/>
        <v>5</v>
      </c>
      <c r="K46" s="85">
        <v>1</v>
      </c>
      <c r="L46" s="84">
        <f t="shared" si="10"/>
        <v>5</v>
      </c>
      <c r="M46" s="86" t="s">
        <v>602</v>
      </c>
      <c r="N46" s="87" t="s">
        <v>676</v>
      </c>
      <c r="O46" s="87" t="s">
        <v>678</v>
      </c>
      <c r="P46" s="82"/>
      <c r="Q46" s="82" t="s">
        <v>680</v>
      </c>
      <c r="R46" s="87"/>
    </row>
    <row r="47" spans="1:18" s="89" customFormat="1" ht="57">
      <c r="A47" s="90"/>
      <c r="B47" s="91"/>
      <c r="C47" s="92"/>
      <c r="D47" s="83" t="s">
        <v>32</v>
      </c>
      <c r="E47" s="83" t="s">
        <v>91</v>
      </c>
      <c r="F47" s="92" t="str">
        <f t="shared" si="11"/>
        <v/>
      </c>
      <c r="G47" s="84">
        <v>1</v>
      </c>
      <c r="H47" s="84">
        <v>1</v>
      </c>
      <c r="I47" s="84">
        <v>5</v>
      </c>
      <c r="J47" s="85">
        <f t="shared" si="9"/>
        <v>5</v>
      </c>
      <c r="K47" s="85">
        <v>1</v>
      </c>
      <c r="L47" s="84">
        <f t="shared" si="10"/>
        <v>5</v>
      </c>
      <c r="M47" s="86" t="s">
        <v>603</v>
      </c>
      <c r="N47" s="87" t="s">
        <v>676</v>
      </c>
      <c r="O47" s="87" t="s">
        <v>678</v>
      </c>
      <c r="P47" s="82"/>
      <c r="Q47" s="82" t="s">
        <v>680</v>
      </c>
      <c r="R47" s="87"/>
    </row>
    <row r="48" spans="1:18" s="89" customFormat="1" ht="42.75">
      <c r="A48" s="90"/>
      <c r="B48" s="91"/>
      <c r="C48" s="92"/>
      <c r="D48" s="83" t="s">
        <v>19</v>
      </c>
      <c r="E48" s="83" t="s">
        <v>70</v>
      </c>
      <c r="F48" s="92" t="str">
        <f t="shared" si="11"/>
        <v/>
      </c>
      <c r="G48" s="84">
        <v>1</v>
      </c>
      <c r="H48" s="84">
        <v>1</v>
      </c>
      <c r="I48" s="84">
        <v>5</v>
      </c>
      <c r="J48" s="85">
        <f t="shared" si="9"/>
        <v>5</v>
      </c>
      <c r="K48" s="85">
        <v>1</v>
      </c>
      <c r="L48" s="84">
        <f t="shared" si="10"/>
        <v>5</v>
      </c>
      <c r="M48" s="86" t="s">
        <v>610</v>
      </c>
      <c r="N48" s="87" t="s">
        <v>673</v>
      </c>
      <c r="O48" s="87" t="s">
        <v>689</v>
      </c>
      <c r="P48" s="82" t="s">
        <v>692</v>
      </c>
      <c r="Q48" s="82" t="s">
        <v>668</v>
      </c>
      <c r="R48" s="88">
        <v>43445</v>
      </c>
    </row>
    <row r="49" spans="1:18" s="89" customFormat="1" ht="42.75">
      <c r="A49" s="90"/>
      <c r="B49" s="91"/>
      <c r="C49" s="92"/>
      <c r="D49" s="83" t="s">
        <v>36</v>
      </c>
      <c r="E49" s="83" t="s">
        <v>67</v>
      </c>
      <c r="F49" s="92" t="str">
        <f t="shared" si="11"/>
        <v/>
      </c>
      <c r="G49" s="84">
        <v>1</v>
      </c>
      <c r="H49" s="84">
        <v>1</v>
      </c>
      <c r="I49" s="84">
        <v>5</v>
      </c>
      <c r="J49" s="85">
        <f t="shared" si="9"/>
        <v>5</v>
      </c>
      <c r="K49" s="85">
        <v>1</v>
      </c>
      <c r="L49" s="94">
        <f t="shared" si="10"/>
        <v>5</v>
      </c>
      <c r="M49" s="86" t="s">
        <v>812</v>
      </c>
      <c r="N49" s="87" t="s">
        <v>673</v>
      </c>
      <c r="O49" s="87" t="s">
        <v>672</v>
      </c>
      <c r="P49" s="82"/>
      <c r="Q49" s="82" t="s">
        <v>679</v>
      </c>
      <c r="R49" s="87"/>
    </row>
    <row r="50" spans="1:18" s="89" customFormat="1" ht="42.75">
      <c r="A50" s="90"/>
      <c r="B50" s="91"/>
      <c r="C50" s="92"/>
      <c r="D50" s="83" t="s">
        <v>50</v>
      </c>
      <c r="E50" s="102" t="s">
        <v>72</v>
      </c>
      <c r="F50" s="92" t="str">
        <f t="shared" si="11"/>
        <v/>
      </c>
      <c r="G50" s="84">
        <v>1</v>
      </c>
      <c r="H50" s="84">
        <v>1</v>
      </c>
      <c r="I50" s="84">
        <v>5</v>
      </c>
      <c r="J50" s="85">
        <f t="shared" si="9"/>
        <v>5</v>
      </c>
      <c r="K50" s="85">
        <v>1</v>
      </c>
      <c r="L50" s="94">
        <f t="shared" si="10"/>
        <v>5</v>
      </c>
      <c r="M50" s="86" t="s">
        <v>811</v>
      </c>
      <c r="N50" s="87" t="s">
        <v>673</v>
      </c>
      <c r="O50" s="87" t="s">
        <v>683</v>
      </c>
      <c r="P50" s="82"/>
      <c r="Q50" s="82" t="s">
        <v>679</v>
      </c>
      <c r="R50" s="87"/>
    </row>
    <row r="51" spans="1:18" s="89" customFormat="1">
      <c r="A51" s="95"/>
      <c r="B51" s="96"/>
      <c r="C51" s="97"/>
      <c r="D51" s="83"/>
      <c r="E51" s="83"/>
      <c r="F51" s="97" t="str">
        <f t="shared" si="11"/>
        <v/>
      </c>
      <c r="G51" s="84"/>
      <c r="H51" s="84"/>
      <c r="I51" s="84"/>
      <c r="J51" s="85" t="str">
        <f t="shared" si="9"/>
        <v/>
      </c>
      <c r="K51" s="85"/>
      <c r="L51" s="94" t="str">
        <f t="shared" si="10"/>
        <v/>
      </c>
      <c r="M51" s="86"/>
      <c r="N51" s="93"/>
      <c r="O51" s="93"/>
      <c r="P51" s="82"/>
      <c r="Q51" s="82"/>
      <c r="R51" s="93"/>
    </row>
    <row r="52" spans="1:18" s="89" customFormat="1" ht="94.5" customHeight="1">
      <c r="A52" s="80">
        <v>9</v>
      </c>
      <c r="B52" s="81" t="s">
        <v>827</v>
      </c>
      <c r="C52" s="82" t="s">
        <v>592</v>
      </c>
      <c r="D52" s="83" t="s">
        <v>10</v>
      </c>
      <c r="E52" s="83" t="s">
        <v>73</v>
      </c>
      <c r="F52" s="82" t="s">
        <v>592</v>
      </c>
      <c r="G52" s="84">
        <v>1</v>
      </c>
      <c r="H52" s="84">
        <v>5</v>
      </c>
      <c r="I52" s="84">
        <v>5</v>
      </c>
      <c r="J52" s="85">
        <f>IF(MAX(G52:I52)=0,"",MAX(G52:I52))</f>
        <v>5</v>
      </c>
      <c r="K52" s="85">
        <v>1</v>
      </c>
      <c r="L52" s="84">
        <f>IFERROR(J52*K52,"")</f>
        <v>5</v>
      </c>
      <c r="M52" s="86" t="s">
        <v>720</v>
      </c>
      <c r="N52" s="87" t="s">
        <v>673</v>
      </c>
      <c r="O52" s="87" t="s">
        <v>719</v>
      </c>
      <c r="P52" s="82"/>
      <c r="Q52" s="82" t="s">
        <v>679</v>
      </c>
      <c r="R52" s="93"/>
    </row>
    <row r="53" spans="1:18" s="89" customFormat="1" ht="114">
      <c r="A53" s="90"/>
      <c r="B53" s="91"/>
      <c r="C53" s="92"/>
      <c r="D53" s="83" t="s">
        <v>47</v>
      </c>
      <c r="E53" s="83" t="s">
        <v>657</v>
      </c>
      <c r="F53" s="92" t="str">
        <f>IF($C53&lt;&gt;"",C53,"")</f>
        <v/>
      </c>
      <c r="G53" s="84">
        <v>5</v>
      </c>
      <c r="H53" s="84">
        <v>1</v>
      </c>
      <c r="I53" s="84">
        <v>1</v>
      </c>
      <c r="J53" s="85">
        <f t="shared" ref="J53:J55" si="12">IF(MAX(G53:I53)=0,"",MAX(G53:I53))</f>
        <v>5</v>
      </c>
      <c r="K53" s="85">
        <v>1</v>
      </c>
      <c r="L53" s="84">
        <f t="shared" ref="L53:L55" si="13">IFERROR(J53*K53,"")</f>
        <v>5</v>
      </c>
      <c r="M53" s="86" t="s">
        <v>721</v>
      </c>
      <c r="N53" s="87" t="s">
        <v>673</v>
      </c>
      <c r="O53" s="87" t="s">
        <v>682</v>
      </c>
      <c r="P53" s="82"/>
      <c r="Q53" s="82" t="s">
        <v>679</v>
      </c>
      <c r="R53" s="93"/>
    </row>
    <row r="54" spans="1:18" s="89" customFormat="1" ht="42.75">
      <c r="A54" s="90"/>
      <c r="B54" s="91"/>
      <c r="C54" s="92"/>
      <c r="D54" s="83" t="s">
        <v>112</v>
      </c>
      <c r="E54" s="83" t="s">
        <v>73</v>
      </c>
      <c r="F54" s="92" t="str">
        <f t="shared" ref="F54:F55" si="14">IF($C54&lt;&gt;"",C54,"")</f>
        <v/>
      </c>
      <c r="G54" s="84">
        <v>1</v>
      </c>
      <c r="H54" s="84">
        <v>5</v>
      </c>
      <c r="I54" s="84">
        <v>1</v>
      </c>
      <c r="J54" s="85">
        <f t="shared" si="12"/>
        <v>5</v>
      </c>
      <c r="K54" s="85">
        <v>1</v>
      </c>
      <c r="L54" s="94">
        <f t="shared" si="13"/>
        <v>5</v>
      </c>
      <c r="M54" s="86" t="s">
        <v>722</v>
      </c>
      <c r="N54" s="87" t="s">
        <v>673</v>
      </c>
      <c r="O54" s="87" t="s">
        <v>682</v>
      </c>
      <c r="P54" s="82"/>
      <c r="Q54" s="82" t="s">
        <v>679</v>
      </c>
      <c r="R54" s="93"/>
    </row>
    <row r="55" spans="1:18" s="89" customFormat="1" ht="71.25">
      <c r="A55" s="95"/>
      <c r="B55" s="96"/>
      <c r="C55" s="97"/>
      <c r="D55" s="83" t="s">
        <v>455</v>
      </c>
      <c r="E55" s="83" t="s">
        <v>73</v>
      </c>
      <c r="F55" s="97" t="str">
        <f t="shared" si="14"/>
        <v/>
      </c>
      <c r="G55" s="84">
        <v>5</v>
      </c>
      <c r="H55" s="84">
        <v>3</v>
      </c>
      <c r="I55" s="84">
        <v>1</v>
      </c>
      <c r="J55" s="85">
        <f t="shared" si="12"/>
        <v>5</v>
      </c>
      <c r="K55" s="85">
        <v>1</v>
      </c>
      <c r="L55" s="94">
        <f t="shared" si="13"/>
        <v>5</v>
      </c>
      <c r="M55" s="86" t="s">
        <v>811</v>
      </c>
      <c r="N55" s="87" t="s">
        <v>673</v>
      </c>
      <c r="O55" s="87" t="s">
        <v>682</v>
      </c>
      <c r="P55" s="83"/>
      <c r="Q55" s="83" t="s">
        <v>679</v>
      </c>
      <c r="R55" s="93"/>
    </row>
    <row r="56" spans="1:18" s="89" customFormat="1" ht="94.5" customHeight="1">
      <c r="A56" s="80">
        <v>11</v>
      </c>
      <c r="B56" s="120" t="s">
        <v>820</v>
      </c>
      <c r="C56" s="82" t="s">
        <v>692</v>
      </c>
      <c r="D56" s="83" t="s">
        <v>11</v>
      </c>
      <c r="E56" s="83" t="s">
        <v>67</v>
      </c>
      <c r="F56" s="82" t="s">
        <v>692</v>
      </c>
      <c r="G56" s="84">
        <v>5</v>
      </c>
      <c r="H56" s="84">
        <v>5</v>
      </c>
      <c r="I56" s="84">
        <v>5</v>
      </c>
      <c r="J56" s="85">
        <f>IF(MAX(G56:I56)=0,"",MAX(G56:I56))</f>
        <v>5</v>
      </c>
      <c r="K56" s="85">
        <v>1</v>
      </c>
      <c r="L56" s="84">
        <f>IFERROR(J56*K56,"")</f>
        <v>5</v>
      </c>
      <c r="M56" s="86" t="s">
        <v>726</v>
      </c>
      <c r="N56" s="87" t="s">
        <v>673</v>
      </c>
      <c r="O56" s="87" t="s">
        <v>677</v>
      </c>
      <c r="P56" s="82"/>
      <c r="Q56" s="82" t="s">
        <v>679</v>
      </c>
      <c r="R56" s="93"/>
    </row>
    <row r="57" spans="1:18" s="89" customFormat="1" ht="57">
      <c r="A57" s="90"/>
      <c r="B57" s="91"/>
      <c r="C57" s="92"/>
      <c r="D57" s="83" t="s">
        <v>49</v>
      </c>
      <c r="E57" s="83" t="s">
        <v>73</v>
      </c>
      <c r="F57" s="92" t="str">
        <f>IF($C57&lt;&gt;"",C57,"")</f>
        <v/>
      </c>
      <c r="G57" s="84">
        <v>5</v>
      </c>
      <c r="H57" s="84">
        <v>1</v>
      </c>
      <c r="I57" s="84">
        <v>1</v>
      </c>
      <c r="J57" s="85">
        <f t="shared" ref="J57:J59" si="15">IF(MAX(G57:I57)=0,"",MAX(G57:I57))</f>
        <v>5</v>
      </c>
      <c r="K57" s="85">
        <v>1</v>
      </c>
      <c r="L57" s="84">
        <f t="shared" ref="L57:L59" si="16">IFERROR(J57*K57,"")</f>
        <v>5</v>
      </c>
      <c r="M57" s="86" t="s">
        <v>728</v>
      </c>
      <c r="N57" s="87" t="s">
        <v>673</v>
      </c>
      <c r="O57" s="87" t="s">
        <v>682</v>
      </c>
      <c r="P57" s="82"/>
      <c r="Q57" s="82" t="s">
        <v>679</v>
      </c>
      <c r="R57" s="93"/>
    </row>
    <row r="58" spans="1:18" s="89" customFormat="1" ht="85.5">
      <c r="A58" s="90"/>
      <c r="B58" s="91"/>
      <c r="C58" s="92"/>
      <c r="D58" s="83" t="s">
        <v>112</v>
      </c>
      <c r="E58" s="83" t="s">
        <v>75</v>
      </c>
      <c r="F58" s="92" t="str">
        <f t="shared" ref="F58:F59" si="17">IF($C58&lt;&gt;"",C58,"")</f>
        <v/>
      </c>
      <c r="G58" s="84">
        <v>5</v>
      </c>
      <c r="H58" s="84">
        <v>5</v>
      </c>
      <c r="I58" s="84">
        <v>5</v>
      </c>
      <c r="J58" s="85">
        <f t="shared" si="15"/>
        <v>5</v>
      </c>
      <c r="K58" s="85">
        <v>1</v>
      </c>
      <c r="L58" s="94">
        <f t="shared" si="16"/>
        <v>5</v>
      </c>
      <c r="M58" s="86" t="s">
        <v>729</v>
      </c>
      <c r="N58" s="87" t="s">
        <v>673</v>
      </c>
      <c r="O58" s="87" t="s">
        <v>682</v>
      </c>
      <c r="P58" s="82"/>
      <c r="Q58" s="82" t="s">
        <v>679</v>
      </c>
      <c r="R58" s="93"/>
    </row>
    <row r="59" spans="1:18" s="89" customFormat="1" ht="85.5">
      <c r="A59" s="95"/>
      <c r="B59" s="96"/>
      <c r="C59" s="97"/>
      <c r="D59" s="83" t="s">
        <v>36</v>
      </c>
      <c r="E59" s="83" t="s">
        <v>72</v>
      </c>
      <c r="F59" s="97" t="str">
        <f t="shared" si="17"/>
        <v/>
      </c>
      <c r="G59" s="84">
        <v>5</v>
      </c>
      <c r="H59" s="84">
        <v>3</v>
      </c>
      <c r="I59" s="84">
        <v>1</v>
      </c>
      <c r="J59" s="85">
        <f t="shared" si="15"/>
        <v>5</v>
      </c>
      <c r="K59" s="85">
        <v>1</v>
      </c>
      <c r="L59" s="94">
        <f t="shared" si="16"/>
        <v>5</v>
      </c>
      <c r="M59" s="86" t="s">
        <v>823</v>
      </c>
      <c r="N59" s="87" t="s">
        <v>673</v>
      </c>
      <c r="O59" s="87" t="s">
        <v>677</v>
      </c>
      <c r="P59" s="83"/>
      <c r="Q59" s="83" t="s">
        <v>679</v>
      </c>
      <c r="R59" s="93"/>
    </row>
    <row r="60" spans="1:18" s="89" customFormat="1" ht="94.5" customHeight="1">
      <c r="A60" s="80">
        <v>11</v>
      </c>
      <c r="B60" s="120" t="s">
        <v>850</v>
      </c>
      <c r="C60" s="82" t="s">
        <v>692</v>
      </c>
      <c r="D60" s="83" t="s">
        <v>11</v>
      </c>
      <c r="E60" s="83" t="s">
        <v>67</v>
      </c>
      <c r="F60" s="82" t="s">
        <v>692</v>
      </c>
      <c r="G60" s="84">
        <v>5</v>
      </c>
      <c r="H60" s="84">
        <v>5</v>
      </c>
      <c r="I60" s="84">
        <v>5</v>
      </c>
      <c r="J60" s="85">
        <f>IF(MAX(G60:I60)=0,"",MAX(G60:I60))</f>
        <v>5</v>
      </c>
      <c r="K60" s="85">
        <v>1</v>
      </c>
      <c r="L60" s="84">
        <f>IFERROR(J60*K60,"")</f>
        <v>5</v>
      </c>
      <c r="M60" s="86" t="s">
        <v>726</v>
      </c>
      <c r="N60" s="87" t="s">
        <v>673</v>
      </c>
      <c r="O60" s="87" t="s">
        <v>677</v>
      </c>
      <c r="P60" s="82"/>
      <c r="Q60" s="82" t="s">
        <v>679</v>
      </c>
      <c r="R60" s="93"/>
    </row>
    <row r="61" spans="1:18" s="89" customFormat="1" ht="57">
      <c r="A61" s="90"/>
      <c r="B61" s="91"/>
      <c r="C61" s="92"/>
      <c r="D61" s="83" t="s">
        <v>49</v>
      </c>
      <c r="E61" s="83" t="s">
        <v>73</v>
      </c>
      <c r="F61" s="92" t="str">
        <f>IF($C61&lt;&gt;"",C61,"")</f>
        <v/>
      </c>
      <c r="G61" s="84">
        <v>5</v>
      </c>
      <c r="H61" s="84">
        <v>1</v>
      </c>
      <c r="I61" s="84">
        <v>1</v>
      </c>
      <c r="J61" s="85">
        <f t="shared" ref="J61:J63" si="18">IF(MAX(G61:I61)=0,"",MAX(G61:I61))</f>
        <v>5</v>
      </c>
      <c r="K61" s="85">
        <v>1</v>
      </c>
      <c r="L61" s="84">
        <f t="shared" ref="L61:L63" si="19">IFERROR(J61*K61,"")</f>
        <v>5</v>
      </c>
      <c r="M61" s="86" t="s">
        <v>728</v>
      </c>
      <c r="N61" s="87" t="s">
        <v>673</v>
      </c>
      <c r="O61" s="87" t="s">
        <v>682</v>
      </c>
      <c r="P61" s="82"/>
      <c r="Q61" s="82" t="s">
        <v>679</v>
      </c>
      <c r="R61" s="93"/>
    </row>
    <row r="62" spans="1:18" s="89" customFormat="1" ht="85.5">
      <c r="A62" s="90"/>
      <c r="B62" s="91"/>
      <c r="C62" s="92"/>
      <c r="D62" s="83" t="s">
        <v>112</v>
      </c>
      <c r="E62" s="83" t="s">
        <v>75</v>
      </c>
      <c r="F62" s="92" t="str">
        <f t="shared" ref="F62:F63" si="20">IF($C62&lt;&gt;"",C62,"")</f>
        <v/>
      </c>
      <c r="G62" s="84">
        <v>5</v>
      </c>
      <c r="H62" s="84">
        <v>5</v>
      </c>
      <c r="I62" s="84">
        <v>5</v>
      </c>
      <c r="J62" s="85">
        <f t="shared" si="18"/>
        <v>5</v>
      </c>
      <c r="K62" s="85">
        <v>1</v>
      </c>
      <c r="L62" s="94">
        <f t="shared" si="19"/>
        <v>5</v>
      </c>
      <c r="M62" s="86" t="s">
        <v>729</v>
      </c>
      <c r="N62" s="87" t="s">
        <v>673</v>
      </c>
      <c r="O62" s="87" t="s">
        <v>682</v>
      </c>
      <c r="P62" s="82"/>
      <c r="Q62" s="82" t="s">
        <v>679</v>
      </c>
      <c r="R62" s="93"/>
    </row>
    <row r="63" spans="1:18" s="89" customFormat="1" ht="85.5">
      <c r="A63" s="95"/>
      <c r="B63" s="96"/>
      <c r="C63" s="97"/>
      <c r="D63" s="83" t="s">
        <v>36</v>
      </c>
      <c r="E63" s="83" t="s">
        <v>72</v>
      </c>
      <c r="F63" s="97" t="str">
        <f t="shared" si="20"/>
        <v/>
      </c>
      <c r="G63" s="84">
        <v>5</v>
      </c>
      <c r="H63" s="84">
        <v>3</v>
      </c>
      <c r="I63" s="84">
        <v>1</v>
      </c>
      <c r="J63" s="85">
        <f t="shared" si="18"/>
        <v>5</v>
      </c>
      <c r="K63" s="85">
        <v>1</v>
      </c>
      <c r="L63" s="94">
        <f t="shared" si="19"/>
        <v>5</v>
      </c>
      <c r="M63" s="86" t="s">
        <v>823</v>
      </c>
      <c r="N63" s="87" t="s">
        <v>673</v>
      </c>
      <c r="O63" s="87" t="s">
        <v>677</v>
      </c>
      <c r="P63" s="83"/>
      <c r="Q63" s="83" t="s">
        <v>679</v>
      </c>
      <c r="R63" s="93"/>
    </row>
    <row r="64" spans="1:18" s="89" customFormat="1" ht="94.5" customHeight="1">
      <c r="A64" s="80">
        <v>12</v>
      </c>
      <c r="B64" s="120" t="s">
        <v>714</v>
      </c>
      <c r="C64" s="82" t="s">
        <v>744</v>
      </c>
      <c r="D64" s="83" t="s">
        <v>55</v>
      </c>
      <c r="E64" s="83" t="s">
        <v>73</v>
      </c>
      <c r="F64" s="82" t="s">
        <v>744</v>
      </c>
      <c r="G64" s="84">
        <v>1</v>
      </c>
      <c r="H64" s="84">
        <v>5</v>
      </c>
      <c r="I64" s="84">
        <v>5</v>
      </c>
      <c r="J64" s="85">
        <f>IF(MAX(G64:I64)=0,"",MAX(G64:I64))</f>
        <v>5</v>
      </c>
      <c r="K64" s="85">
        <v>1</v>
      </c>
      <c r="L64" s="84">
        <f>IFERROR(J64*K64,"")</f>
        <v>5</v>
      </c>
      <c r="M64" s="86" t="s">
        <v>731</v>
      </c>
      <c r="N64" s="87" t="s">
        <v>673</v>
      </c>
      <c r="O64" s="87" t="s">
        <v>677</v>
      </c>
      <c r="P64" s="82"/>
      <c r="Q64" s="82" t="s">
        <v>679</v>
      </c>
      <c r="R64" s="93"/>
    </row>
    <row r="65" spans="1:18" s="89" customFormat="1" ht="57">
      <c r="A65" s="90"/>
      <c r="B65" s="91"/>
      <c r="C65" s="92"/>
      <c r="D65" s="83" t="s">
        <v>456</v>
      </c>
      <c r="E65" s="83" t="s">
        <v>75</v>
      </c>
      <c r="F65" s="92" t="str">
        <f>IF($C65&lt;&gt;"",C65,"")</f>
        <v/>
      </c>
      <c r="G65" s="84">
        <v>5</v>
      </c>
      <c r="H65" s="84">
        <v>1</v>
      </c>
      <c r="I65" s="84">
        <v>1</v>
      </c>
      <c r="J65" s="85">
        <f t="shared" ref="J65:J67" si="21">IF(MAX(G65:I65)=0,"",MAX(G65:I65))</f>
        <v>5</v>
      </c>
      <c r="K65" s="85">
        <v>1</v>
      </c>
      <c r="L65" s="84">
        <f t="shared" ref="L65:L67" si="22">IFERROR(J65*K65,"")</f>
        <v>5</v>
      </c>
      <c r="M65" s="86" t="s">
        <v>732</v>
      </c>
      <c r="N65" s="87" t="s">
        <v>673</v>
      </c>
      <c r="O65" s="87" t="s">
        <v>682</v>
      </c>
      <c r="P65" s="82"/>
      <c r="Q65" s="82" t="s">
        <v>679</v>
      </c>
      <c r="R65" s="93"/>
    </row>
    <row r="66" spans="1:18" s="89" customFormat="1" ht="85.5">
      <c r="A66" s="90"/>
      <c r="B66" s="91"/>
      <c r="C66" s="92"/>
      <c r="D66" s="83" t="s">
        <v>112</v>
      </c>
      <c r="E66" s="83" t="s">
        <v>75</v>
      </c>
      <c r="F66" s="92" t="str">
        <f t="shared" ref="F66:F67" si="23">IF($C66&lt;&gt;"",C66,"")</f>
        <v/>
      </c>
      <c r="G66" s="84">
        <v>5</v>
      </c>
      <c r="H66" s="84">
        <v>5</v>
      </c>
      <c r="I66" s="84">
        <v>5</v>
      </c>
      <c r="J66" s="85">
        <f t="shared" si="21"/>
        <v>5</v>
      </c>
      <c r="K66" s="85">
        <v>1</v>
      </c>
      <c r="L66" s="94">
        <f t="shared" si="22"/>
        <v>5</v>
      </c>
      <c r="M66" s="86" t="s">
        <v>733</v>
      </c>
      <c r="N66" s="87" t="s">
        <v>673</v>
      </c>
      <c r="O66" s="87" t="s">
        <v>682</v>
      </c>
      <c r="P66" s="82"/>
      <c r="Q66" s="82" t="s">
        <v>679</v>
      </c>
      <c r="R66" s="93"/>
    </row>
    <row r="67" spans="1:18" s="89" customFormat="1" ht="57">
      <c r="A67" s="95"/>
      <c r="B67" s="96"/>
      <c r="C67" s="97"/>
      <c r="D67" s="83" t="s">
        <v>48</v>
      </c>
      <c r="E67" s="83" t="s">
        <v>73</v>
      </c>
      <c r="F67" s="97" t="str">
        <f t="shared" si="23"/>
        <v/>
      </c>
      <c r="G67" s="84">
        <v>1</v>
      </c>
      <c r="H67" s="84">
        <v>5</v>
      </c>
      <c r="I67" s="84">
        <v>5</v>
      </c>
      <c r="J67" s="85">
        <f t="shared" si="21"/>
        <v>5</v>
      </c>
      <c r="K67" s="85">
        <v>1</v>
      </c>
      <c r="L67" s="94">
        <f t="shared" si="22"/>
        <v>5</v>
      </c>
      <c r="M67" s="86" t="s">
        <v>734</v>
      </c>
      <c r="N67" s="87" t="s">
        <v>673</v>
      </c>
      <c r="O67" s="87" t="s">
        <v>677</v>
      </c>
      <c r="P67" s="83"/>
      <c r="Q67" s="83" t="s">
        <v>679</v>
      </c>
      <c r="R67" s="93"/>
    </row>
    <row r="68" spans="1:18" s="89" customFormat="1" ht="179.25" customHeight="1">
      <c r="A68" s="80">
        <v>13</v>
      </c>
      <c r="B68" s="120" t="s">
        <v>781</v>
      </c>
      <c r="C68" s="82" t="s">
        <v>744</v>
      </c>
      <c r="D68" s="83" t="s">
        <v>112</v>
      </c>
      <c r="E68" s="83" t="s">
        <v>790</v>
      </c>
      <c r="F68" s="82" t="s">
        <v>744</v>
      </c>
      <c r="G68" s="84">
        <v>5</v>
      </c>
      <c r="H68" s="84">
        <v>5</v>
      </c>
      <c r="I68" s="84">
        <v>5</v>
      </c>
      <c r="J68" s="85">
        <f>IF(MAX(G68:I68)=0,"",MAX(G68:I68))</f>
        <v>5</v>
      </c>
      <c r="K68" s="85">
        <v>1</v>
      </c>
      <c r="L68" s="84">
        <f>IFERROR(J68*K68,"")</f>
        <v>5</v>
      </c>
      <c r="M68" s="86" t="s">
        <v>783</v>
      </c>
      <c r="N68" s="87" t="s">
        <v>673</v>
      </c>
      <c r="O68" s="87" t="s">
        <v>685</v>
      </c>
      <c r="P68" s="82" t="s">
        <v>748</v>
      </c>
      <c r="Q68" s="82" t="s">
        <v>679</v>
      </c>
      <c r="R68" s="87"/>
    </row>
    <row r="69" spans="1:18" s="89" customFormat="1" ht="57">
      <c r="A69" s="90"/>
      <c r="B69" s="91"/>
      <c r="C69" s="92"/>
      <c r="D69" s="83" t="s">
        <v>25</v>
      </c>
      <c r="E69" s="83" t="s">
        <v>69</v>
      </c>
      <c r="F69" s="92" t="str">
        <f>IF($C69&lt;&gt;"",C69,"")</f>
        <v/>
      </c>
      <c r="G69" s="84">
        <v>1</v>
      </c>
      <c r="H69" s="84">
        <v>1</v>
      </c>
      <c r="I69" s="84">
        <v>5</v>
      </c>
      <c r="J69" s="85">
        <f t="shared" ref="J69:J76" si="24">IF(MAX(G69:I69)=0,"",MAX(G69:I69))</f>
        <v>5</v>
      </c>
      <c r="K69" s="85">
        <v>1</v>
      </c>
      <c r="L69" s="84">
        <f t="shared" ref="L69:L76" si="25">IFERROR(J69*K69,"")</f>
        <v>5</v>
      </c>
      <c r="M69" s="86" t="s">
        <v>784</v>
      </c>
      <c r="N69" s="87" t="s">
        <v>673</v>
      </c>
      <c r="O69" s="87" t="s">
        <v>677</v>
      </c>
      <c r="P69" s="82"/>
      <c r="Q69" s="82" t="s">
        <v>679</v>
      </c>
      <c r="R69" s="87"/>
    </row>
    <row r="70" spans="1:18" s="89" customFormat="1" ht="57">
      <c r="A70" s="90"/>
      <c r="B70" s="91"/>
      <c r="C70" s="92"/>
      <c r="D70" s="83" t="s">
        <v>25</v>
      </c>
      <c r="E70" s="83" t="s">
        <v>81</v>
      </c>
      <c r="F70" s="92"/>
      <c r="G70" s="84">
        <v>1</v>
      </c>
      <c r="H70" s="84">
        <v>1</v>
      </c>
      <c r="I70" s="84">
        <v>5</v>
      </c>
      <c r="J70" s="85">
        <f t="shared" si="24"/>
        <v>5</v>
      </c>
      <c r="K70" s="85">
        <v>1</v>
      </c>
      <c r="L70" s="84">
        <f t="shared" si="25"/>
        <v>5</v>
      </c>
      <c r="M70" s="86" t="s">
        <v>785</v>
      </c>
      <c r="N70" s="87" t="s">
        <v>673</v>
      </c>
      <c r="O70" s="87" t="s">
        <v>677</v>
      </c>
      <c r="P70" s="82"/>
      <c r="Q70" s="82" t="s">
        <v>679</v>
      </c>
      <c r="R70" s="87"/>
    </row>
    <row r="71" spans="1:18" s="89" customFormat="1" ht="57">
      <c r="A71" s="90"/>
      <c r="B71" s="91"/>
      <c r="C71" s="92"/>
      <c r="D71" s="83" t="s">
        <v>25</v>
      </c>
      <c r="E71" s="83" t="s">
        <v>90</v>
      </c>
      <c r="F71" s="92"/>
      <c r="G71" s="84">
        <v>1</v>
      </c>
      <c r="H71" s="84">
        <v>1</v>
      </c>
      <c r="I71" s="84">
        <v>5</v>
      </c>
      <c r="J71" s="85">
        <f t="shared" si="24"/>
        <v>5</v>
      </c>
      <c r="K71" s="85">
        <v>1</v>
      </c>
      <c r="L71" s="84">
        <f t="shared" si="25"/>
        <v>5</v>
      </c>
      <c r="M71" s="86" t="s">
        <v>584</v>
      </c>
      <c r="N71" s="87" t="s">
        <v>673</v>
      </c>
      <c r="O71" s="87" t="s">
        <v>677</v>
      </c>
      <c r="P71" s="82"/>
      <c r="Q71" s="82" t="s">
        <v>679</v>
      </c>
      <c r="R71" s="87"/>
    </row>
    <row r="72" spans="1:18" s="89" customFormat="1" ht="71.25">
      <c r="A72" s="90"/>
      <c r="B72" s="91"/>
      <c r="C72" s="92"/>
      <c r="D72" s="83" t="s">
        <v>25</v>
      </c>
      <c r="E72" s="83" t="s">
        <v>91</v>
      </c>
      <c r="F72" s="92"/>
      <c r="G72" s="84">
        <v>1</v>
      </c>
      <c r="H72" s="84">
        <v>1</v>
      </c>
      <c r="I72" s="84">
        <v>5</v>
      </c>
      <c r="J72" s="85">
        <f t="shared" si="24"/>
        <v>5</v>
      </c>
      <c r="K72" s="85">
        <v>1</v>
      </c>
      <c r="L72" s="84">
        <f t="shared" si="25"/>
        <v>5</v>
      </c>
      <c r="M72" s="86" t="s">
        <v>791</v>
      </c>
      <c r="N72" s="87" t="s">
        <v>673</v>
      </c>
      <c r="O72" s="87" t="s">
        <v>677</v>
      </c>
      <c r="P72" s="82"/>
      <c r="Q72" s="82" t="s">
        <v>679</v>
      </c>
      <c r="R72" s="87"/>
    </row>
    <row r="73" spans="1:18" s="89" customFormat="1" ht="114">
      <c r="A73" s="90"/>
      <c r="B73" s="91"/>
      <c r="C73" s="92"/>
      <c r="D73" s="83" t="s">
        <v>27</v>
      </c>
      <c r="E73" s="83" t="s">
        <v>80</v>
      </c>
      <c r="F73" s="92" t="str">
        <f t="shared" ref="F73:F75" si="26">IF($C73&lt;&gt;"",C73,"")</f>
        <v/>
      </c>
      <c r="G73" s="84">
        <v>1</v>
      </c>
      <c r="H73" s="84">
        <v>1</v>
      </c>
      <c r="I73" s="84">
        <v>5</v>
      </c>
      <c r="J73" s="85">
        <f t="shared" si="24"/>
        <v>5</v>
      </c>
      <c r="K73" s="85">
        <v>1</v>
      </c>
      <c r="L73" s="84">
        <f t="shared" si="25"/>
        <v>5</v>
      </c>
      <c r="M73" s="86" t="s">
        <v>792</v>
      </c>
      <c r="N73" s="87" t="s">
        <v>676</v>
      </c>
      <c r="O73" s="87" t="s">
        <v>678</v>
      </c>
      <c r="P73" s="82"/>
      <c r="Q73" s="82" t="s">
        <v>680</v>
      </c>
      <c r="R73" s="87"/>
    </row>
    <row r="74" spans="1:18" s="89" customFormat="1" ht="71.25">
      <c r="A74" s="90"/>
      <c r="B74" s="91"/>
      <c r="C74" s="92"/>
      <c r="D74" s="83" t="s">
        <v>32</v>
      </c>
      <c r="E74" s="83" t="s">
        <v>91</v>
      </c>
      <c r="F74" s="92" t="str">
        <f t="shared" si="26"/>
        <v/>
      </c>
      <c r="G74" s="84">
        <v>1</v>
      </c>
      <c r="H74" s="84">
        <v>1</v>
      </c>
      <c r="I74" s="84">
        <v>5</v>
      </c>
      <c r="J74" s="85">
        <f t="shared" si="24"/>
        <v>5</v>
      </c>
      <c r="K74" s="85">
        <v>1</v>
      </c>
      <c r="L74" s="84">
        <f t="shared" si="25"/>
        <v>5</v>
      </c>
      <c r="M74" s="86" t="s">
        <v>576</v>
      </c>
      <c r="N74" s="87" t="s">
        <v>676</v>
      </c>
      <c r="O74" s="87" t="s">
        <v>678</v>
      </c>
      <c r="P74" s="82"/>
      <c r="Q74" s="82" t="s">
        <v>680</v>
      </c>
      <c r="R74" s="93"/>
    </row>
    <row r="75" spans="1:18" s="89" customFormat="1" ht="71.25">
      <c r="A75" s="90"/>
      <c r="B75" s="91"/>
      <c r="C75" s="92"/>
      <c r="D75" s="83" t="s">
        <v>38</v>
      </c>
      <c r="E75" s="83" t="s">
        <v>72</v>
      </c>
      <c r="F75" s="92" t="str">
        <f t="shared" si="26"/>
        <v/>
      </c>
      <c r="G75" s="84">
        <v>5</v>
      </c>
      <c r="H75" s="84">
        <v>5</v>
      </c>
      <c r="I75" s="84">
        <v>5</v>
      </c>
      <c r="J75" s="85">
        <f t="shared" si="24"/>
        <v>5</v>
      </c>
      <c r="K75" s="85">
        <v>1</v>
      </c>
      <c r="L75" s="94">
        <f t="shared" si="25"/>
        <v>5</v>
      </c>
      <c r="M75" s="86" t="s">
        <v>577</v>
      </c>
      <c r="N75" s="87" t="s">
        <v>673</v>
      </c>
      <c r="O75" s="87" t="s">
        <v>682</v>
      </c>
      <c r="P75" s="82"/>
      <c r="Q75" s="82" t="s">
        <v>679</v>
      </c>
      <c r="R75" s="87"/>
    </row>
    <row r="76" spans="1:18" s="89" customFormat="1" ht="85.5">
      <c r="A76" s="90"/>
      <c r="B76" s="91"/>
      <c r="C76" s="92"/>
      <c r="D76" s="82" t="s">
        <v>11</v>
      </c>
      <c r="E76" s="82" t="s">
        <v>67</v>
      </c>
      <c r="F76" s="92"/>
      <c r="G76" s="80">
        <v>1</v>
      </c>
      <c r="H76" s="80">
        <v>1</v>
      </c>
      <c r="I76" s="80">
        <v>5</v>
      </c>
      <c r="J76" s="98">
        <f t="shared" si="24"/>
        <v>5</v>
      </c>
      <c r="K76" s="98">
        <v>1</v>
      </c>
      <c r="L76" s="99">
        <f t="shared" si="25"/>
        <v>5</v>
      </c>
      <c r="M76" s="100" t="s">
        <v>594</v>
      </c>
      <c r="N76" s="101" t="s">
        <v>673</v>
      </c>
      <c r="O76" s="101" t="s">
        <v>672</v>
      </c>
      <c r="P76" s="82"/>
      <c r="Q76" s="82" t="s">
        <v>679</v>
      </c>
      <c r="R76" s="101"/>
    </row>
    <row r="77" spans="1:18" s="89" customFormat="1" ht="179.25" customHeight="1">
      <c r="A77" s="80">
        <v>14</v>
      </c>
      <c r="B77" s="81" t="s">
        <v>769</v>
      </c>
      <c r="C77" s="82" t="s">
        <v>744</v>
      </c>
      <c r="D77" s="83" t="s">
        <v>112</v>
      </c>
      <c r="E77" s="83" t="s">
        <v>790</v>
      </c>
      <c r="F77" s="82" t="s">
        <v>744</v>
      </c>
      <c r="G77" s="84">
        <v>5</v>
      </c>
      <c r="H77" s="84">
        <v>5</v>
      </c>
      <c r="I77" s="84">
        <v>5</v>
      </c>
      <c r="J77" s="85">
        <f>IF(MAX(G77:I77)=0,"",MAX(G77:I77))</f>
        <v>5</v>
      </c>
      <c r="K77" s="85">
        <v>1</v>
      </c>
      <c r="L77" s="84">
        <f>IFERROR(J77*K77,"")</f>
        <v>5</v>
      </c>
      <c r="M77" s="86" t="s">
        <v>783</v>
      </c>
      <c r="N77" s="87" t="s">
        <v>673</v>
      </c>
      <c r="O77" s="87" t="s">
        <v>685</v>
      </c>
      <c r="P77" s="82" t="s">
        <v>748</v>
      </c>
      <c r="Q77" s="82" t="s">
        <v>679</v>
      </c>
      <c r="R77" s="87"/>
    </row>
    <row r="78" spans="1:18" s="89" customFormat="1" ht="57">
      <c r="A78" s="90"/>
      <c r="B78" s="91"/>
      <c r="C78" s="92"/>
      <c r="D78" s="83" t="s">
        <v>25</v>
      </c>
      <c r="E78" s="83" t="s">
        <v>69</v>
      </c>
      <c r="F78" s="92" t="str">
        <f>IF($C78&lt;&gt;"",C78,"")</f>
        <v/>
      </c>
      <c r="G78" s="84">
        <v>1</v>
      </c>
      <c r="H78" s="84">
        <v>1</v>
      </c>
      <c r="I78" s="84">
        <v>5</v>
      </c>
      <c r="J78" s="85">
        <f t="shared" ref="J78:J85" si="27">IF(MAX(G78:I78)=0,"",MAX(G78:I78))</f>
        <v>5</v>
      </c>
      <c r="K78" s="85">
        <v>1</v>
      </c>
      <c r="L78" s="84">
        <f t="shared" ref="L78:L85" si="28">IFERROR(J78*K78,"")</f>
        <v>5</v>
      </c>
      <c r="M78" s="86" t="s">
        <v>784</v>
      </c>
      <c r="N78" s="87" t="s">
        <v>673</v>
      </c>
      <c r="O78" s="87" t="s">
        <v>677</v>
      </c>
      <c r="P78" s="82"/>
      <c r="Q78" s="82" t="s">
        <v>679</v>
      </c>
      <c r="R78" s="87"/>
    </row>
    <row r="79" spans="1:18" s="89" customFormat="1" ht="57">
      <c r="A79" s="90"/>
      <c r="B79" s="91"/>
      <c r="C79" s="92"/>
      <c r="D79" s="83" t="s">
        <v>25</v>
      </c>
      <c r="E79" s="83" t="s">
        <v>81</v>
      </c>
      <c r="F79" s="92"/>
      <c r="G79" s="84">
        <v>1</v>
      </c>
      <c r="H79" s="84">
        <v>1</v>
      </c>
      <c r="I79" s="84">
        <v>5</v>
      </c>
      <c r="J79" s="85">
        <f t="shared" si="27"/>
        <v>5</v>
      </c>
      <c r="K79" s="85">
        <v>1</v>
      </c>
      <c r="L79" s="84">
        <f t="shared" si="28"/>
        <v>5</v>
      </c>
      <c r="M79" s="86" t="s">
        <v>785</v>
      </c>
      <c r="N79" s="87" t="s">
        <v>673</v>
      </c>
      <c r="O79" s="87" t="s">
        <v>677</v>
      </c>
      <c r="P79" s="82"/>
      <c r="Q79" s="82" t="s">
        <v>679</v>
      </c>
      <c r="R79" s="87"/>
    </row>
    <row r="80" spans="1:18" s="89" customFormat="1" ht="57">
      <c r="A80" s="90"/>
      <c r="B80" s="91"/>
      <c r="C80" s="92"/>
      <c r="D80" s="83" t="s">
        <v>25</v>
      </c>
      <c r="E80" s="83" t="s">
        <v>90</v>
      </c>
      <c r="F80" s="92"/>
      <c r="G80" s="84">
        <v>1</v>
      </c>
      <c r="H80" s="84">
        <v>1</v>
      </c>
      <c r="I80" s="84">
        <v>5</v>
      </c>
      <c r="J80" s="85">
        <f t="shared" si="27"/>
        <v>5</v>
      </c>
      <c r="K80" s="85">
        <v>1</v>
      </c>
      <c r="L80" s="84">
        <f t="shared" si="28"/>
        <v>5</v>
      </c>
      <c r="M80" s="86" t="s">
        <v>584</v>
      </c>
      <c r="N80" s="87" t="s">
        <v>673</v>
      </c>
      <c r="O80" s="87" t="s">
        <v>677</v>
      </c>
      <c r="P80" s="82"/>
      <c r="Q80" s="82" t="s">
        <v>679</v>
      </c>
      <c r="R80" s="87"/>
    </row>
    <row r="81" spans="1:18" s="89" customFormat="1" ht="71.25">
      <c r="A81" s="90"/>
      <c r="B81" s="91"/>
      <c r="C81" s="92"/>
      <c r="D81" s="83" t="s">
        <v>25</v>
      </c>
      <c r="E81" s="83" t="s">
        <v>91</v>
      </c>
      <c r="F81" s="92"/>
      <c r="G81" s="84">
        <v>1</v>
      </c>
      <c r="H81" s="84">
        <v>1</v>
      </c>
      <c r="I81" s="84">
        <v>5</v>
      </c>
      <c r="J81" s="85">
        <f t="shared" si="27"/>
        <v>5</v>
      </c>
      <c r="K81" s="85">
        <v>1</v>
      </c>
      <c r="L81" s="84">
        <f t="shared" si="28"/>
        <v>5</v>
      </c>
      <c r="M81" s="86" t="s">
        <v>791</v>
      </c>
      <c r="N81" s="87" t="s">
        <v>673</v>
      </c>
      <c r="O81" s="87" t="s">
        <v>677</v>
      </c>
      <c r="P81" s="82"/>
      <c r="Q81" s="82" t="s">
        <v>679</v>
      </c>
      <c r="R81" s="87"/>
    </row>
    <row r="82" spans="1:18" s="89" customFormat="1" ht="114">
      <c r="A82" s="90"/>
      <c r="B82" s="91"/>
      <c r="C82" s="92"/>
      <c r="D82" s="83" t="s">
        <v>27</v>
      </c>
      <c r="E82" s="83" t="s">
        <v>80</v>
      </c>
      <c r="F82" s="92" t="str">
        <f t="shared" ref="F82:F84" si="29">IF($C82&lt;&gt;"",C82,"")</f>
        <v/>
      </c>
      <c r="G82" s="84">
        <v>1</v>
      </c>
      <c r="H82" s="84">
        <v>1</v>
      </c>
      <c r="I82" s="84">
        <v>5</v>
      </c>
      <c r="J82" s="85">
        <f t="shared" si="27"/>
        <v>5</v>
      </c>
      <c r="K82" s="85">
        <v>1</v>
      </c>
      <c r="L82" s="84">
        <f t="shared" si="28"/>
        <v>5</v>
      </c>
      <c r="M82" s="86" t="s">
        <v>792</v>
      </c>
      <c r="N82" s="87" t="s">
        <v>676</v>
      </c>
      <c r="O82" s="87" t="s">
        <v>678</v>
      </c>
      <c r="P82" s="82"/>
      <c r="Q82" s="82" t="s">
        <v>680</v>
      </c>
      <c r="R82" s="87"/>
    </row>
    <row r="83" spans="1:18" s="89" customFormat="1" ht="71.25">
      <c r="A83" s="90"/>
      <c r="B83" s="91"/>
      <c r="C83" s="92"/>
      <c r="D83" s="83" t="s">
        <v>32</v>
      </c>
      <c r="E83" s="83" t="s">
        <v>91</v>
      </c>
      <c r="F83" s="92" t="str">
        <f t="shared" si="29"/>
        <v/>
      </c>
      <c r="G83" s="84">
        <v>1</v>
      </c>
      <c r="H83" s="84">
        <v>1</v>
      </c>
      <c r="I83" s="84">
        <v>5</v>
      </c>
      <c r="J83" s="85">
        <f t="shared" si="27"/>
        <v>5</v>
      </c>
      <c r="K83" s="85">
        <v>1</v>
      </c>
      <c r="L83" s="84">
        <f t="shared" si="28"/>
        <v>5</v>
      </c>
      <c r="M83" s="86" t="s">
        <v>576</v>
      </c>
      <c r="N83" s="87" t="s">
        <v>676</v>
      </c>
      <c r="O83" s="87" t="s">
        <v>678</v>
      </c>
      <c r="P83" s="82"/>
      <c r="Q83" s="82" t="s">
        <v>680</v>
      </c>
      <c r="R83" s="93"/>
    </row>
    <row r="84" spans="1:18" s="89" customFormat="1" ht="71.25">
      <c r="A84" s="90"/>
      <c r="B84" s="91"/>
      <c r="C84" s="92"/>
      <c r="D84" s="83" t="s">
        <v>38</v>
      </c>
      <c r="E84" s="83" t="s">
        <v>72</v>
      </c>
      <c r="F84" s="92" t="str">
        <f t="shared" si="29"/>
        <v/>
      </c>
      <c r="G84" s="84">
        <v>5</v>
      </c>
      <c r="H84" s="84">
        <v>5</v>
      </c>
      <c r="I84" s="84">
        <v>5</v>
      </c>
      <c r="J84" s="85">
        <f t="shared" si="27"/>
        <v>5</v>
      </c>
      <c r="K84" s="85">
        <v>1</v>
      </c>
      <c r="L84" s="94">
        <f t="shared" si="28"/>
        <v>5</v>
      </c>
      <c r="M84" s="86" t="s">
        <v>577</v>
      </c>
      <c r="N84" s="87" t="s">
        <v>673</v>
      </c>
      <c r="O84" s="87" t="s">
        <v>682</v>
      </c>
      <c r="P84" s="82"/>
      <c r="Q84" s="82" t="s">
        <v>679</v>
      </c>
      <c r="R84" s="87"/>
    </row>
    <row r="85" spans="1:18" s="89" customFormat="1" ht="85.5">
      <c r="A85" s="95"/>
      <c r="B85" s="96"/>
      <c r="C85" s="97"/>
      <c r="D85" s="83" t="s">
        <v>11</v>
      </c>
      <c r="E85" s="83" t="s">
        <v>67</v>
      </c>
      <c r="F85" s="97"/>
      <c r="G85" s="84">
        <v>1</v>
      </c>
      <c r="H85" s="84">
        <v>1</v>
      </c>
      <c r="I85" s="84">
        <v>5</v>
      </c>
      <c r="J85" s="85">
        <f t="shared" si="27"/>
        <v>5</v>
      </c>
      <c r="K85" s="85">
        <v>1</v>
      </c>
      <c r="L85" s="94">
        <f t="shared" si="28"/>
        <v>5</v>
      </c>
      <c r="M85" s="86" t="s">
        <v>594</v>
      </c>
      <c r="N85" s="87" t="s">
        <v>673</v>
      </c>
      <c r="O85" s="87" t="s">
        <v>672</v>
      </c>
      <c r="P85" s="83"/>
      <c r="Q85" s="83" t="s">
        <v>679</v>
      </c>
      <c r="R85" s="87"/>
    </row>
    <row r="86" spans="1:18" s="89" customFormat="1" ht="69.75" customHeight="1">
      <c r="A86" s="80">
        <v>15</v>
      </c>
      <c r="B86" s="81" t="s">
        <v>764</v>
      </c>
      <c r="C86" s="82" t="s">
        <v>744</v>
      </c>
      <c r="D86" s="83" t="s">
        <v>112</v>
      </c>
      <c r="E86" s="83" t="s">
        <v>600</v>
      </c>
      <c r="F86" s="82" t="s">
        <v>744</v>
      </c>
      <c r="G86" s="84">
        <v>5</v>
      </c>
      <c r="H86" s="84">
        <v>5</v>
      </c>
      <c r="I86" s="84">
        <v>5</v>
      </c>
      <c r="J86" s="85">
        <f>IF(MAX(G86:I86)=0,"",MAX(G86:I86))</f>
        <v>5</v>
      </c>
      <c r="K86" s="85">
        <v>1</v>
      </c>
      <c r="L86" s="84">
        <f>IFERROR(J86*K86,"")</f>
        <v>5</v>
      </c>
      <c r="M86" s="86" t="s">
        <v>571</v>
      </c>
      <c r="N86" s="87" t="s">
        <v>673</v>
      </c>
      <c r="O86" s="87" t="s">
        <v>687</v>
      </c>
      <c r="P86" s="82"/>
      <c r="Q86" s="83" t="s">
        <v>679</v>
      </c>
      <c r="R86" s="88"/>
    </row>
    <row r="87" spans="1:18" s="89" customFormat="1" ht="57">
      <c r="A87" s="90"/>
      <c r="B87" s="91"/>
      <c r="C87" s="92"/>
      <c r="D87" s="83" t="s">
        <v>36</v>
      </c>
      <c r="E87" s="83" t="s">
        <v>67</v>
      </c>
      <c r="F87" s="92" t="str">
        <f>IF($C87&lt;&gt;"",C87,"")</f>
        <v/>
      </c>
      <c r="G87" s="84">
        <v>1</v>
      </c>
      <c r="H87" s="84">
        <v>1</v>
      </c>
      <c r="I87" s="84">
        <v>5</v>
      </c>
      <c r="J87" s="85">
        <f t="shared" ref="J87:J96" si="30">IF(MAX(G87:I87)=0,"",MAX(G87:I87))</f>
        <v>5</v>
      </c>
      <c r="K87" s="85">
        <v>1</v>
      </c>
      <c r="L87" s="84">
        <f t="shared" ref="L87:L96" si="31">IFERROR(J87*K87,"")</f>
        <v>5</v>
      </c>
      <c r="M87" s="86" t="s">
        <v>809</v>
      </c>
      <c r="N87" s="87" t="s">
        <v>673</v>
      </c>
      <c r="O87" s="93" t="s">
        <v>677</v>
      </c>
      <c r="P87" s="82"/>
      <c r="Q87" s="82" t="s">
        <v>679</v>
      </c>
      <c r="R87" s="93"/>
    </row>
    <row r="88" spans="1:18" s="89" customFormat="1" ht="57">
      <c r="A88" s="90"/>
      <c r="B88" s="91"/>
      <c r="C88" s="92"/>
      <c r="D88" s="83" t="s">
        <v>25</v>
      </c>
      <c r="E88" s="83" t="s">
        <v>69</v>
      </c>
      <c r="F88" s="92" t="str">
        <f>IF($C88&lt;&gt;"",C88,"")</f>
        <v/>
      </c>
      <c r="G88" s="84">
        <v>1</v>
      </c>
      <c r="H88" s="84">
        <v>1</v>
      </c>
      <c r="I88" s="84">
        <v>5</v>
      </c>
      <c r="J88" s="85">
        <f t="shared" si="30"/>
        <v>5</v>
      </c>
      <c r="K88" s="85">
        <v>1</v>
      </c>
      <c r="L88" s="84">
        <f t="shared" si="31"/>
        <v>5</v>
      </c>
      <c r="M88" s="86" t="s">
        <v>616</v>
      </c>
      <c r="N88" s="87" t="s">
        <v>673</v>
      </c>
      <c r="O88" s="93" t="s">
        <v>677</v>
      </c>
      <c r="P88" s="82"/>
      <c r="Q88" s="82" t="s">
        <v>679</v>
      </c>
      <c r="R88" s="93"/>
    </row>
    <row r="89" spans="1:18" s="89" customFormat="1" ht="57">
      <c r="A89" s="90"/>
      <c r="B89" s="91"/>
      <c r="C89" s="92"/>
      <c r="D89" s="83" t="s">
        <v>25</v>
      </c>
      <c r="E89" s="83" t="s">
        <v>81</v>
      </c>
      <c r="F89" s="92"/>
      <c r="G89" s="84">
        <v>1</v>
      </c>
      <c r="H89" s="84">
        <v>1</v>
      </c>
      <c r="I89" s="84">
        <v>5</v>
      </c>
      <c r="J89" s="85">
        <f t="shared" si="30"/>
        <v>5</v>
      </c>
      <c r="K89" s="85">
        <v>1</v>
      </c>
      <c r="L89" s="84">
        <f t="shared" si="31"/>
        <v>5</v>
      </c>
      <c r="M89" s="86" t="s">
        <v>614</v>
      </c>
      <c r="N89" s="87" t="s">
        <v>673</v>
      </c>
      <c r="O89" s="93" t="s">
        <v>677</v>
      </c>
      <c r="P89" s="82"/>
      <c r="Q89" s="82" t="s">
        <v>679</v>
      </c>
      <c r="R89" s="93"/>
    </row>
    <row r="90" spans="1:18" s="89" customFormat="1" ht="57">
      <c r="A90" s="90"/>
      <c r="B90" s="91"/>
      <c r="C90" s="92"/>
      <c r="D90" s="83" t="s">
        <v>25</v>
      </c>
      <c r="E90" s="83" t="s">
        <v>90</v>
      </c>
      <c r="F90" s="92"/>
      <c r="G90" s="84">
        <v>1</v>
      </c>
      <c r="H90" s="84">
        <v>1</v>
      </c>
      <c r="I90" s="84">
        <v>5</v>
      </c>
      <c r="J90" s="85">
        <f t="shared" si="30"/>
        <v>5</v>
      </c>
      <c r="K90" s="85">
        <v>1</v>
      </c>
      <c r="L90" s="84">
        <f t="shared" si="31"/>
        <v>5</v>
      </c>
      <c r="M90" s="86" t="s">
        <v>615</v>
      </c>
      <c r="N90" s="87" t="s">
        <v>673</v>
      </c>
      <c r="O90" s="93" t="s">
        <v>677</v>
      </c>
      <c r="P90" s="82"/>
      <c r="Q90" s="82" t="s">
        <v>679</v>
      </c>
      <c r="R90" s="93"/>
    </row>
    <row r="91" spans="1:18" s="89" customFormat="1" ht="57">
      <c r="A91" s="90"/>
      <c r="B91" s="91"/>
      <c r="C91" s="92"/>
      <c r="D91" s="83" t="s">
        <v>25</v>
      </c>
      <c r="E91" s="83" t="s">
        <v>91</v>
      </c>
      <c r="F91" s="92"/>
      <c r="G91" s="84">
        <v>1</v>
      </c>
      <c r="H91" s="84">
        <v>1</v>
      </c>
      <c r="I91" s="84">
        <v>5</v>
      </c>
      <c r="J91" s="85">
        <f t="shared" si="30"/>
        <v>5</v>
      </c>
      <c r="K91" s="85">
        <v>1</v>
      </c>
      <c r="L91" s="84">
        <f t="shared" si="31"/>
        <v>5</v>
      </c>
      <c r="M91" s="86" t="s">
        <v>574</v>
      </c>
      <c r="N91" s="87" t="s">
        <v>673</v>
      </c>
      <c r="O91" s="93" t="s">
        <v>677</v>
      </c>
      <c r="P91" s="82"/>
      <c r="Q91" s="82" t="s">
        <v>679</v>
      </c>
      <c r="R91" s="93"/>
    </row>
    <row r="92" spans="1:18" s="89" customFormat="1" ht="57">
      <c r="A92" s="90"/>
      <c r="B92" s="91"/>
      <c r="C92" s="92"/>
      <c r="D92" s="83" t="s">
        <v>27</v>
      </c>
      <c r="E92" s="83" t="s">
        <v>80</v>
      </c>
      <c r="F92" s="92" t="str">
        <f t="shared" ref="F92:F96" si="32">IF($C92&lt;&gt;"",C92,"")</f>
        <v/>
      </c>
      <c r="G92" s="84">
        <v>1</v>
      </c>
      <c r="H92" s="84">
        <v>1</v>
      </c>
      <c r="I92" s="84">
        <v>5</v>
      </c>
      <c r="J92" s="85">
        <f t="shared" si="30"/>
        <v>5</v>
      </c>
      <c r="K92" s="85">
        <v>1</v>
      </c>
      <c r="L92" s="84">
        <f t="shared" si="31"/>
        <v>5</v>
      </c>
      <c r="M92" s="86" t="s">
        <v>602</v>
      </c>
      <c r="N92" s="87" t="s">
        <v>676</v>
      </c>
      <c r="O92" s="87" t="s">
        <v>678</v>
      </c>
      <c r="P92" s="82"/>
      <c r="Q92" s="82" t="s">
        <v>680</v>
      </c>
      <c r="R92" s="87"/>
    </row>
    <row r="93" spans="1:18" s="89" customFormat="1" ht="57">
      <c r="A93" s="90"/>
      <c r="B93" s="91"/>
      <c r="C93" s="92"/>
      <c r="D93" s="83" t="s">
        <v>32</v>
      </c>
      <c r="E93" s="83" t="s">
        <v>91</v>
      </c>
      <c r="F93" s="92" t="str">
        <f t="shared" si="32"/>
        <v/>
      </c>
      <c r="G93" s="84">
        <v>1</v>
      </c>
      <c r="H93" s="84">
        <v>1</v>
      </c>
      <c r="I93" s="84">
        <v>5</v>
      </c>
      <c r="J93" s="85">
        <f t="shared" si="30"/>
        <v>5</v>
      </c>
      <c r="K93" s="85">
        <v>1</v>
      </c>
      <c r="L93" s="84">
        <f t="shared" si="31"/>
        <v>5</v>
      </c>
      <c r="M93" s="86" t="s">
        <v>603</v>
      </c>
      <c r="N93" s="87" t="s">
        <v>676</v>
      </c>
      <c r="O93" s="87" t="s">
        <v>678</v>
      </c>
      <c r="P93" s="82"/>
      <c r="Q93" s="82" t="s">
        <v>680</v>
      </c>
      <c r="R93" s="87"/>
    </row>
    <row r="94" spans="1:18" s="89" customFormat="1" ht="42.75">
      <c r="A94" s="90"/>
      <c r="B94" s="91"/>
      <c r="C94" s="92"/>
      <c r="D94" s="83" t="s">
        <v>19</v>
      </c>
      <c r="E94" s="83" t="s">
        <v>70</v>
      </c>
      <c r="F94" s="92" t="str">
        <f t="shared" si="32"/>
        <v/>
      </c>
      <c r="G94" s="84">
        <v>1</v>
      </c>
      <c r="H94" s="84">
        <v>1</v>
      </c>
      <c r="I94" s="84">
        <v>5</v>
      </c>
      <c r="J94" s="85">
        <f t="shared" si="30"/>
        <v>5</v>
      </c>
      <c r="K94" s="85">
        <v>1</v>
      </c>
      <c r="L94" s="84">
        <f t="shared" si="31"/>
        <v>5</v>
      </c>
      <c r="M94" s="86" t="s">
        <v>610</v>
      </c>
      <c r="N94" s="87" t="s">
        <v>673</v>
      </c>
      <c r="O94" s="93" t="s">
        <v>689</v>
      </c>
      <c r="P94" s="82"/>
      <c r="Q94" s="82" t="s">
        <v>679</v>
      </c>
      <c r="R94" s="88"/>
    </row>
    <row r="95" spans="1:18" s="89" customFormat="1" ht="42.75">
      <c r="A95" s="90"/>
      <c r="B95" s="91"/>
      <c r="C95" s="92"/>
      <c r="D95" s="83" t="s">
        <v>36</v>
      </c>
      <c r="E95" s="83" t="s">
        <v>67</v>
      </c>
      <c r="F95" s="92" t="str">
        <f t="shared" si="32"/>
        <v/>
      </c>
      <c r="G95" s="84">
        <v>1</v>
      </c>
      <c r="H95" s="84">
        <v>1</v>
      </c>
      <c r="I95" s="84">
        <v>5</v>
      </c>
      <c r="J95" s="85">
        <f t="shared" si="30"/>
        <v>5</v>
      </c>
      <c r="K95" s="85">
        <v>1</v>
      </c>
      <c r="L95" s="94">
        <f t="shared" si="31"/>
        <v>5</v>
      </c>
      <c r="M95" s="86" t="s">
        <v>821</v>
      </c>
      <c r="N95" s="87" t="s">
        <v>673</v>
      </c>
      <c r="O95" s="87" t="s">
        <v>672</v>
      </c>
      <c r="P95" s="82"/>
      <c r="Q95" s="82" t="s">
        <v>679</v>
      </c>
      <c r="R95" s="87"/>
    </row>
    <row r="96" spans="1:18" s="89" customFormat="1" ht="42.75">
      <c r="A96" s="90"/>
      <c r="B96" s="91"/>
      <c r="C96" s="92"/>
      <c r="D96" s="83" t="s">
        <v>50</v>
      </c>
      <c r="E96" s="103" t="s">
        <v>72</v>
      </c>
      <c r="F96" s="92" t="str">
        <f t="shared" si="32"/>
        <v/>
      </c>
      <c r="G96" s="84">
        <v>1</v>
      </c>
      <c r="H96" s="84">
        <v>1</v>
      </c>
      <c r="I96" s="84">
        <v>5</v>
      </c>
      <c r="J96" s="85">
        <f t="shared" si="30"/>
        <v>5</v>
      </c>
      <c r="K96" s="85">
        <v>1</v>
      </c>
      <c r="L96" s="94">
        <f t="shared" si="31"/>
        <v>5</v>
      </c>
      <c r="M96" s="86" t="s">
        <v>811</v>
      </c>
      <c r="N96" s="87" t="s">
        <v>673</v>
      </c>
      <c r="O96" s="87" t="s">
        <v>683</v>
      </c>
      <c r="P96" s="82"/>
      <c r="Q96" s="82" t="s">
        <v>679</v>
      </c>
      <c r="R96" s="87"/>
    </row>
    <row r="97" spans="1:18" s="89" customFormat="1" ht="28.5">
      <c r="A97" s="95"/>
      <c r="B97" s="96"/>
      <c r="C97" s="97"/>
      <c r="D97" s="83" t="s">
        <v>50</v>
      </c>
      <c r="E97" s="103" t="s">
        <v>72</v>
      </c>
      <c r="F97" s="97" t="str">
        <f t="shared" ref="F97" si="33">IF($C97&lt;&gt;"",C97,"")</f>
        <v/>
      </c>
      <c r="G97" s="84">
        <v>1</v>
      </c>
      <c r="H97" s="84">
        <v>1</v>
      </c>
      <c r="I97" s="84">
        <v>5</v>
      </c>
      <c r="J97" s="85">
        <f t="shared" ref="J97" si="34">IF(MAX(G97:I97)=0,"",MAX(G97:I97))</f>
        <v>5</v>
      </c>
      <c r="K97" s="85">
        <v>1</v>
      </c>
      <c r="L97" s="94">
        <f t="shared" ref="L97" si="35">IFERROR(J97*K97,"")</f>
        <v>5</v>
      </c>
      <c r="M97" s="86" t="s">
        <v>813</v>
      </c>
      <c r="N97" s="87" t="s">
        <v>673</v>
      </c>
      <c r="O97" s="87" t="s">
        <v>683</v>
      </c>
      <c r="P97" s="83"/>
      <c r="Q97" s="83" t="s">
        <v>679</v>
      </c>
      <c r="R97" s="87"/>
    </row>
    <row r="98" spans="1:18" s="89" customFormat="1" ht="69.75" customHeight="1">
      <c r="A98" s="80">
        <v>15</v>
      </c>
      <c r="B98" s="81" t="s">
        <v>831</v>
      </c>
      <c r="C98" s="82" t="s">
        <v>744</v>
      </c>
      <c r="D98" s="83" t="s">
        <v>112</v>
      </c>
      <c r="E98" s="83" t="s">
        <v>600</v>
      </c>
      <c r="F98" s="82" t="s">
        <v>744</v>
      </c>
      <c r="G98" s="84">
        <v>5</v>
      </c>
      <c r="H98" s="84">
        <v>5</v>
      </c>
      <c r="I98" s="84">
        <v>5</v>
      </c>
      <c r="J98" s="85">
        <f>IF(MAX(G98:I98)=0,"",MAX(G98:I98))</f>
        <v>5</v>
      </c>
      <c r="K98" s="85">
        <v>1</v>
      </c>
      <c r="L98" s="84">
        <f>IFERROR(J98*K98,"")</f>
        <v>5</v>
      </c>
      <c r="M98" s="86" t="s">
        <v>571</v>
      </c>
      <c r="N98" s="87" t="s">
        <v>673</v>
      </c>
      <c r="O98" s="87" t="s">
        <v>687</v>
      </c>
      <c r="P98" s="82"/>
      <c r="Q98" s="83" t="s">
        <v>679</v>
      </c>
      <c r="R98" s="88"/>
    </row>
    <row r="99" spans="1:18" s="89" customFormat="1" ht="57">
      <c r="A99" s="90"/>
      <c r="B99" s="91"/>
      <c r="C99" s="92"/>
      <c r="D99" s="83" t="s">
        <v>36</v>
      </c>
      <c r="E99" s="83" t="s">
        <v>67</v>
      </c>
      <c r="F99" s="92" t="str">
        <f>IF($C99&lt;&gt;"",C99,"")</f>
        <v/>
      </c>
      <c r="G99" s="84">
        <v>1</v>
      </c>
      <c r="H99" s="84">
        <v>1</v>
      </c>
      <c r="I99" s="84">
        <v>5</v>
      </c>
      <c r="J99" s="85">
        <f t="shared" ref="J99:J109" si="36">IF(MAX(G99:I99)=0,"",MAX(G99:I99))</f>
        <v>5</v>
      </c>
      <c r="K99" s="85">
        <v>1</v>
      </c>
      <c r="L99" s="84">
        <f t="shared" ref="L99:L109" si="37">IFERROR(J99*K99,"")</f>
        <v>5</v>
      </c>
      <c r="M99" s="86" t="s">
        <v>809</v>
      </c>
      <c r="N99" s="87" t="s">
        <v>673</v>
      </c>
      <c r="O99" s="93" t="s">
        <v>677</v>
      </c>
      <c r="P99" s="82"/>
      <c r="Q99" s="82" t="s">
        <v>679</v>
      </c>
      <c r="R99" s="93"/>
    </row>
    <row r="100" spans="1:18" s="89" customFormat="1" ht="57">
      <c r="A100" s="90"/>
      <c r="B100" s="91"/>
      <c r="C100" s="92"/>
      <c r="D100" s="83" t="s">
        <v>25</v>
      </c>
      <c r="E100" s="83" t="s">
        <v>69</v>
      </c>
      <c r="F100" s="92" t="str">
        <f>IF($C100&lt;&gt;"",C100,"")</f>
        <v/>
      </c>
      <c r="G100" s="84">
        <v>1</v>
      </c>
      <c r="H100" s="84">
        <v>1</v>
      </c>
      <c r="I100" s="84">
        <v>5</v>
      </c>
      <c r="J100" s="85">
        <f t="shared" si="36"/>
        <v>5</v>
      </c>
      <c r="K100" s="85">
        <v>1</v>
      </c>
      <c r="L100" s="84">
        <f t="shared" si="37"/>
        <v>5</v>
      </c>
      <c r="M100" s="86" t="s">
        <v>616</v>
      </c>
      <c r="N100" s="87" t="s">
        <v>673</v>
      </c>
      <c r="O100" s="93" t="s">
        <v>677</v>
      </c>
      <c r="P100" s="82"/>
      <c r="Q100" s="82" t="s">
        <v>679</v>
      </c>
      <c r="R100" s="93"/>
    </row>
    <row r="101" spans="1:18" s="89" customFormat="1" ht="57">
      <c r="A101" s="90"/>
      <c r="B101" s="91"/>
      <c r="C101" s="92"/>
      <c r="D101" s="83" t="s">
        <v>25</v>
      </c>
      <c r="E101" s="83" t="s">
        <v>81</v>
      </c>
      <c r="F101" s="92"/>
      <c r="G101" s="84">
        <v>1</v>
      </c>
      <c r="H101" s="84">
        <v>1</v>
      </c>
      <c r="I101" s="84">
        <v>5</v>
      </c>
      <c r="J101" s="85">
        <f t="shared" si="36"/>
        <v>5</v>
      </c>
      <c r="K101" s="85">
        <v>1</v>
      </c>
      <c r="L101" s="84">
        <f t="shared" si="37"/>
        <v>5</v>
      </c>
      <c r="M101" s="86" t="s">
        <v>614</v>
      </c>
      <c r="N101" s="87" t="s">
        <v>673</v>
      </c>
      <c r="O101" s="93" t="s">
        <v>677</v>
      </c>
      <c r="P101" s="82"/>
      <c r="Q101" s="82" t="s">
        <v>679</v>
      </c>
      <c r="R101" s="93"/>
    </row>
    <row r="102" spans="1:18" s="89" customFormat="1" ht="57">
      <c r="A102" s="90"/>
      <c r="B102" s="91"/>
      <c r="C102" s="92"/>
      <c r="D102" s="83" t="s">
        <v>25</v>
      </c>
      <c r="E102" s="83" t="s">
        <v>90</v>
      </c>
      <c r="F102" s="92"/>
      <c r="G102" s="84">
        <v>1</v>
      </c>
      <c r="H102" s="84">
        <v>1</v>
      </c>
      <c r="I102" s="84">
        <v>5</v>
      </c>
      <c r="J102" s="85">
        <f t="shared" si="36"/>
        <v>5</v>
      </c>
      <c r="K102" s="85">
        <v>1</v>
      </c>
      <c r="L102" s="84">
        <f t="shared" si="37"/>
        <v>5</v>
      </c>
      <c r="M102" s="86" t="s">
        <v>615</v>
      </c>
      <c r="N102" s="87" t="s">
        <v>673</v>
      </c>
      <c r="O102" s="93" t="s">
        <v>677</v>
      </c>
      <c r="P102" s="82"/>
      <c r="Q102" s="82" t="s">
        <v>679</v>
      </c>
      <c r="R102" s="93"/>
    </row>
    <row r="103" spans="1:18" s="89" customFormat="1" ht="57">
      <c r="A103" s="90"/>
      <c r="B103" s="91"/>
      <c r="C103" s="92"/>
      <c r="D103" s="83" t="s">
        <v>25</v>
      </c>
      <c r="E103" s="83" t="s">
        <v>91</v>
      </c>
      <c r="F103" s="92"/>
      <c r="G103" s="84">
        <v>1</v>
      </c>
      <c r="H103" s="84">
        <v>1</v>
      </c>
      <c r="I103" s="84">
        <v>5</v>
      </c>
      <c r="J103" s="85">
        <f t="shared" si="36"/>
        <v>5</v>
      </c>
      <c r="K103" s="85">
        <v>1</v>
      </c>
      <c r="L103" s="84">
        <f t="shared" si="37"/>
        <v>5</v>
      </c>
      <c r="M103" s="86" t="s">
        <v>574</v>
      </c>
      <c r="N103" s="87" t="s">
        <v>673</v>
      </c>
      <c r="O103" s="93" t="s">
        <v>677</v>
      </c>
      <c r="P103" s="82"/>
      <c r="Q103" s="82" t="s">
        <v>679</v>
      </c>
      <c r="R103" s="93"/>
    </row>
    <row r="104" spans="1:18" s="89" customFormat="1" ht="57">
      <c r="A104" s="90"/>
      <c r="B104" s="91"/>
      <c r="C104" s="92"/>
      <c r="D104" s="83" t="s">
        <v>27</v>
      </c>
      <c r="E104" s="83" t="s">
        <v>80</v>
      </c>
      <c r="F104" s="92" t="str">
        <f t="shared" ref="F104:F109" si="38">IF($C104&lt;&gt;"",C104,"")</f>
        <v/>
      </c>
      <c r="G104" s="84">
        <v>1</v>
      </c>
      <c r="H104" s="84">
        <v>1</v>
      </c>
      <c r="I104" s="84">
        <v>5</v>
      </c>
      <c r="J104" s="85">
        <f t="shared" si="36"/>
        <v>5</v>
      </c>
      <c r="K104" s="85">
        <v>1</v>
      </c>
      <c r="L104" s="84">
        <f t="shared" si="37"/>
        <v>5</v>
      </c>
      <c r="M104" s="86" t="s">
        <v>602</v>
      </c>
      <c r="N104" s="87" t="s">
        <v>676</v>
      </c>
      <c r="O104" s="87" t="s">
        <v>678</v>
      </c>
      <c r="P104" s="82"/>
      <c r="Q104" s="82" t="s">
        <v>680</v>
      </c>
      <c r="R104" s="87"/>
    </row>
    <row r="105" spans="1:18" s="89" customFormat="1" ht="57">
      <c r="A105" s="90"/>
      <c r="B105" s="91"/>
      <c r="C105" s="92"/>
      <c r="D105" s="83" t="s">
        <v>32</v>
      </c>
      <c r="E105" s="83" t="s">
        <v>91</v>
      </c>
      <c r="F105" s="92" t="str">
        <f t="shared" si="38"/>
        <v/>
      </c>
      <c r="G105" s="84">
        <v>1</v>
      </c>
      <c r="H105" s="84">
        <v>1</v>
      </c>
      <c r="I105" s="84">
        <v>5</v>
      </c>
      <c r="J105" s="85">
        <f t="shared" si="36"/>
        <v>5</v>
      </c>
      <c r="K105" s="85">
        <v>1</v>
      </c>
      <c r="L105" s="84">
        <f t="shared" si="37"/>
        <v>5</v>
      </c>
      <c r="M105" s="86" t="s">
        <v>603</v>
      </c>
      <c r="N105" s="87" t="s">
        <v>676</v>
      </c>
      <c r="O105" s="87" t="s">
        <v>678</v>
      </c>
      <c r="P105" s="82"/>
      <c r="Q105" s="82" t="s">
        <v>680</v>
      </c>
      <c r="R105" s="87"/>
    </row>
    <row r="106" spans="1:18" s="89" customFormat="1" ht="42.75">
      <c r="A106" s="90"/>
      <c r="B106" s="91"/>
      <c r="C106" s="92"/>
      <c r="D106" s="83" t="s">
        <v>19</v>
      </c>
      <c r="E106" s="83" t="s">
        <v>70</v>
      </c>
      <c r="F106" s="92" t="str">
        <f t="shared" si="38"/>
        <v/>
      </c>
      <c r="G106" s="84">
        <v>1</v>
      </c>
      <c r="H106" s="84">
        <v>1</v>
      </c>
      <c r="I106" s="84">
        <v>5</v>
      </c>
      <c r="J106" s="85">
        <f t="shared" si="36"/>
        <v>5</v>
      </c>
      <c r="K106" s="85">
        <v>1</v>
      </c>
      <c r="L106" s="84">
        <f t="shared" si="37"/>
        <v>5</v>
      </c>
      <c r="M106" s="86" t="s">
        <v>610</v>
      </c>
      <c r="N106" s="87" t="s">
        <v>673</v>
      </c>
      <c r="O106" s="93" t="s">
        <v>689</v>
      </c>
      <c r="P106" s="82"/>
      <c r="Q106" s="82" t="s">
        <v>679</v>
      </c>
      <c r="R106" s="88"/>
    </row>
    <row r="107" spans="1:18" s="89" customFormat="1" ht="42.75">
      <c r="A107" s="90"/>
      <c r="B107" s="91"/>
      <c r="C107" s="92"/>
      <c r="D107" s="83" t="s">
        <v>36</v>
      </c>
      <c r="E107" s="83" t="s">
        <v>67</v>
      </c>
      <c r="F107" s="92" t="str">
        <f t="shared" si="38"/>
        <v/>
      </c>
      <c r="G107" s="84">
        <v>1</v>
      </c>
      <c r="H107" s="84">
        <v>1</v>
      </c>
      <c r="I107" s="84">
        <v>5</v>
      </c>
      <c r="J107" s="85">
        <f t="shared" si="36"/>
        <v>5</v>
      </c>
      <c r="K107" s="85">
        <v>1</v>
      </c>
      <c r="L107" s="94">
        <f t="shared" si="37"/>
        <v>5</v>
      </c>
      <c r="M107" s="86" t="s">
        <v>821</v>
      </c>
      <c r="N107" s="87" t="s">
        <v>673</v>
      </c>
      <c r="O107" s="87" t="s">
        <v>672</v>
      </c>
      <c r="P107" s="82"/>
      <c r="Q107" s="82" t="s">
        <v>679</v>
      </c>
      <c r="R107" s="87"/>
    </row>
    <row r="108" spans="1:18" s="89" customFormat="1" ht="42.75">
      <c r="A108" s="90"/>
      <c r="B108" s="91"/>
      <c r="C108" s="92"/>
      <c r="D108" s="83" t="s">
        <v>50</v>
      </c>
      <c r="E108" s="103" t="s">
        <v>72</v>
      </c>
      <c r="F108" s="92" t="str">
        <f t="shared" si="38"/>
        <v/>
      </c>
      <c r="G108" s="84">
        <v>1</v>
      </c>
      <c r="H108" s="84">
        <v>1</v>
      </c>
      <c r="I108" s="84">
        <v>5</v>
      </c>
      <c r="J108" s="85">
        <f t="shared" si="36"/>
        <v>5</v>
      </c>
      <c r="K108" s="85">
        <v>1</v>
      </c>
      <c r="L108" s="94">
        <f t="shared" si="37"/>
        <v>5</v>
      </c>
      <c r="M108" s="86" t="s">
        <v>811</v>
      </c>
      <c r="N108" s="87" t="s">
        <v>673</v>
      </c>
      <c r="O108" s="87" t="s">
        <v>683</v>
      </c>
      <c r="P108" s="82"/>
      <c r="Q108" s="82" t="s">
        <v>679</v>
      </c>
      <c r="R108" s="87"/>
    </row>
    <row r="109" spans="1:18" s="89" customFormat="1" ht="28.5">
      <c r="A109" s="95"/>
      <c r="B109" s="96"/>
      <c r="C109" s="97"/>
      <c r="D109" s="83" t="s">
        <v>50</v>
      </c>
      <c r="E109" s="103" t="s">
        <v>72</v>
      </c>
      <c r="F109" s="97" t="str">
        <f t="shared" si="38"/>
        <v/>
      </c>
      <c r="G109" s="84">
        <v>1</v>
      </c>
      <c r="H109" s="84">
        <v>1</v>
      </c>
      <c r="I109" s="84">
        <v>5</v>
      </c>
      <c r="J109" s="85">
        <f t="shared" si="36"/>
        <v>5</v>
      </c>
      <c r="K109" s="85">
        <v>1</v>
      </c>
      <c r="L109" s="94">
        <f t="shared" si="37"/>
        <v>5</v>
      </c>
      <c r="M109" s="86" t="s">
        <v>813</v>
      </c>
      <c r="N109" s="87" t="s">
        <v>673</v>
      </c>
      <c r="O109" s="87" t="s">
        <v>683</v>
      </c>
      <c r="P109" s="83"/>
      <c r="Q109" s="83" t="s">
        <v>679</v>
      </c>
      <c r="R109" s="87"/>
    </row>
    <row r="110" spans="1:18" s="89" customFormat="1" ht="69.75" customHeight="1">
      <c r="A110" s="80">
        <v>16</v>
      </c>
      <c r="B110" s="120" t="s">
        <v>752</v>
      </c>
      <c r="C110" s="82" t="s">
        <v>744</v>
      </c>
      <c r="D110" s="83" t="s">
        <v>112</v>
      </c>
      <c r="E110" s="83" t="s">
        <v>600</v>
      </c>
      <c r="F110" s="82" t="s">
        <v>744</v>
      </c>
      <c r="G110" s="84">
        <v>5</v>
      </c>
      <c r="H110" s="84">
        <v>5</v>
      </c>
      <c r="I110" s="84">
        <v>5</v>
      </c>
      <c r="J110" s="85">
        <f>IF(MAX(G110:I110)=0,"",MAX(G110:I110))</f>
        <v>5</v>
      </c>
      <c r="K110" s="85">
        <v>1</v>
      </c>
      <c r="L110" s="84">
        <f>IFERROR(J110*K110,"")</f>
        <v>5</v>
      </c>
      <c r="M110" s="86" t="s">
        <v>571</v>
      </c>
      <c r="N110" s="87" t="s">
        <v>673</v>
      </c>
      <c r="O110" s="87" t="s">
        <v>687</v>
      </c>
      <c r="P110" s="82"/>
      <c r="Q110" s="83" t="s">
        <v>679</v>
      </c>
      <c r="R110" s="88"/>
    </row>
    <row r="111" spans="1:18" s="89" customFormat="1" ht="57">
      <c r="A111" s="90"/>
      <c r="B111" s="91"/>
      <c r="C111" s="92"/>
      <c r="D111" s="83" t="s">
        <v>36</v>
      </c>
      <c r="E111" s="83" t="s">
        <v>67</v>
      </c>
      <c r="F111" s="92" t="str">
        <f>IF($C111&lt;&gt;"",C111,"")</f>
        <v/>
      </c>
      <c r="G111" s="84">
        <v>1</v>
      </c>
      <c r="H111" s="84">
        <v>1</v>
      </c>
      <c r="I111" s="84">
        <v>5</v>
      </c>
      <c r="J111" s="85">
        <f t="shared" ref="J111:J120" si="39">IF(MAX(G111:I111)=0,"",MAX(G111:I111))</f>
        <v>5</v>
      </c>
      <c r="K111" s="85">
        <v>1</v>
      </c>
      <c r="L111" s="84">
        <f t="shared" ref="L111:L120" si="40">IFERROR(J111*K111,"")</f>
        <v>5</v>
      </c>
      <c r="M111" s="86" t="s">
        <v>809</v>
      </c>
      <c r="N111" s="87" t="s">
        <v>673</v>
      </c>
      <c r="O111" s="93" t="s">
        <v>677</v>
      </c>
      <c r="P111" s="82"/>
      <c r="Q111" s="82" t="s">
        <v>679</v>
      </c>
      <c r="R111" s="93"/>
    </row>
    <row r="112" spans="1:18" s="89" customFormat="1" ht="57">
      <c r="A112" s="90"/>
      <c r="B112" s="91"/>
      <c r="C112" s="92"/>
      <c r="D112" s="83" t="s">
        <v>25</v>
      </c>
      <c r="E112" s="83" t="s">
        <v>69</v>
      </c>
      <c r="F112" s="92" t="str">
        <f>IF($C112&lt;&gt;"",C112,"")</f>
        <v/>
      </c>
      <c r="G112" s="84">
        <v>1</v>
      </c>
      <c r="H112" s="84">
        <v>1</v>
      </c>
      <c r="I112" s="84">
        <v>5</v>
      </c>
      <c r="J112" s="85">
        <f t="shared" si="39"/>
        <v>5</v>
      </c>
      <c r="K112" s="85">
        <v>1</v>
      </c>
      <c r="L112" s="84">
        <f t="shared" si="40"/>
        <v>5</v>
      </c>
      <c r="M112" s="86" t="s">
        <v>616</v>
      </c>
      <c r="N112" s="87" t="s">
        <v>673</v>
      </c>
      <c r="O112" s="93" t="s">
        <v>677</v>
      </c>
      <c r="P112" s="82"/>
      <c r="Q112" s="82" t="s">
        <v>679</v>
      </c>
      <c r="R112" s="93"/>
    </row>
    <row r="113" spans="1:18" s="89" customFormat="1" ht="57">
      <c r="A113" s="90"/>
      <c r="B113" s="91"/>
      <c r="C113" s="92"/>
      <c r="D113" s="83" t="s">
        <v>25</v>
      </c>
      <c r="E113" s="83" t="s">
        <v>81</v>
      </c>
      <c r="F113" s="92"/>
      <c r="G113" s="84">
        <v>1</v>
      </c>
      <c r="H113" s="84">
        <v>1</v>
      </c>
      <c r="I113" s="84">
        <v>5</v>
      </c>
      <c r="J113" s="85">
        <f t="shared" si="39"/>
        <v>5</v>
      </c>
      <c r="K113" s="85">
        <v>1</v>
      </c>
      <c r="L113" s="84">
        <f t="shared" si="40"/>
        <v>5</v>
      </c>
      <c r="M113" s="86" t="s">
        <v>614</v>
      </c>
      <c r="N113" s="87" t="s">
        <v>673</v>
      </c>
      <c r="O113" s="93" t="s">
        <v>677</v>
      </c>
      <c r="P113" s="82"/>
      <c r="Q113" s="82" t="s">
        <v>679</v>
      </c>
      <c r="R113" s="93"/>
    </row>
    <row r="114" spans="1:18" s="89" customFormat="1" ht="57">
      <c r="A114" s="90"/>
      <c r="B114" s="91"/>
      <c r="C114" s="92"/>
      <c r="D114" s="83" t="s">
        <v>25</v>
      </c>
      <c r="E114" s="83" t="s">
        <v>90</v>
      </c>
      <c r="F114" s="92"/>
      <c r="G114" s="84">
        <v>1</v>
      </c>
      <c r="H114" s="84">
        <v>1</v>
      </c>
      <c r="I114" s="84">
        <v>5</v>
      </c>
      <c r="J114" s="85">
        <f t="shared" si="39"/>
        <v>5</v>
      </c>
      <c r="K114" s="85">
        <v>1</v>
      </c>
      <c r="L114" s="84">
        <f t="shared" si="40"/>
        <v>5</v>
      </c>
      <c r="M114" s="86" t="s">
        <v>615</v>
      </c>
      <c r="N114" s="87" t="s">
        <v>673</v>
      </c>
      <c r="O114" s="93" t="s">
        <v>677</v>
      </c>
      <c r="P114" s="82"/>
      <c r="Q114" s="82" t="s">
        <v>679</v>
      </c>
      <c r="R114" s="93"/>
    </row>
    <row r="115" spans="1:18" s="89" customFormat="1" ht="57">
      <c r="A115" s="90"/>
      <c r="B115" s="91"/>
      <c r="C115" s="92"/>
      <c r="D115" s="83" t="s">
        <v>25</v>
      </c>
      <c r="E115" s="83" t="s">
        <v>91</v>
      </c>
      <c r="F115" s="92"/>
      <c r="G115" s="84">
        <v>1</v>
      </c>
      <c r="H115" s="84">
        <v>1</v>
      </c>
      <c r="I115" s="84">
        <v>5</v>
      </c>
      <c r="J115" s="85">
        <f t="shared" si="39"/>
        <v>5</v>
      </c>
      <c r="K115" s="85">
        <v>1</v>
      </c>
      <c r="L115" s="84">
        <f t="shared" si="40"/>
        <v>5</v>
      </c>
      <c r="M115" s="86" t="s">
        <v>574</v>
      </c>
      <c r="N115" s="87" t="s">
        <v>673</v>
      </c>
      <c r="O115" s="93" t="s">
        <v>677</v>
      </c>
      <c r="P115" s="82"/>
      <c r="Q115" s="82" t="s">
        <v>679</v>
      </c>
      <c r="R115" s="93"/>
    </row>
    <row r="116" spans="1:18" s="89" customFormat="1" ht="57">
      <c r="A116" s="90"/>
      <c r="B116" s="91"/>
      <c r="C116" s="92"/>
      <c r="D116" s="83" t="s">
        <v>27</v>
      </c>
      <c r="E116" s="83" t="s">
        <v>80</v>
      </c>
      <c r="F116" s="92" t="str">
        <f t="shared" ref="F116:F120" si="41">IF($C116&lt;&gt;"",C116,"")</f>
        <v/>
      </c>
      <c r="G116" s="84">
        <v>1</v>
      </c>
      <c r="H116" s="84">
        <v>1</v>
      </c>
      <c r="I116" s="84">
        <v>5</v>
      </c>
      <c r="J116" s="85">
        <f t="shared" si="39"/>
        <v>5</v>
      </c>
      <c r="K116" s="85">
        <v>1</v>
      </c>
      <c r="L116" s="84">
        <f t="shared" si="40"/>
        <v>5</v>
      </c>
      <c r="M116" s="86" t="s">
        <v>602</v>
      </c>
      <c r="N116" s="87" t="s">
        <v>676</v>
      </c>
      <c r="O116" s="87" t="s">
        <v>678</v>
      </c>
      <c r="P116" s="82"/>
      <c r="Q116" s="82" t="s">
        <v>680</v>
      </c>
      <c r="R116" s="87"/>
    </row>
    <row r="117" spans="1:18" s="89" customFormat="1" ht="57">
      <c r="A117" s="90"/>
      <c r="B117" s="91"/>
      <c r="C117" s="92"/>
      <c r="D117" s="83" t="s">
        <v>32</v>
      </c>
      <c r="E117" s="83" t="s">
        <v>91</v>
      </c>
      <c r="F117" s="92" t="str">
        <f t="shared" si="41"/>
        <v/>
      </c>
      <c r="G117" s="84">
        <v>1</v>
      </c>
      <c r="H117" s="84">
        <v>1</v>
      </c>
      <c r="I117" s="84">
        <v>5</v>
      </c>
      <c r="J117" s="85">
        <f t="shared" si="39"/>
        <v>5</v>
      </c>
      <c r="K117" s="85">
        <v>1</v>
      </c>
      <c r="L117" s="84">
        <f t="shared" si="40"/>
        <v>5</v>
      </c>
      <c r="M117" s="86" t="s">
        <v>603</v>
      </c>
      <c r="N117" s="87" t="s">
        <v>676</v>
      </c>
      <c r="O117" s="87" t="s">
        <v>678</v>
      </c>
      <c r="P117" s="82"/>
      <c r="Q117" s="82" t="s">
        <v>680</v>
      </c>
      <c r="R117" s="87"/>
    </row>
    <row r="118" spans="1:18" s="89" customFormat="1" ht="42.75">
      <c r="A118" s="90"/>
      <c r="B118" s="91"/>
      <c r="C118" s="92"/>
      <c r="D118" s="83" t="s">
        <v>19</v>
      </c>
      <c r="E118" s="83" t="s">
        <v>70</v>
      </c>
      <c r="F118" s="92" t="str">
        <f t="shared" si="41"/>
        <v/>
      </c>
      <c r="G118" s="84">
        <v>1</v>
      </c>
      <c r="H118" s="84">
        <v>1</v>
      </c>
      <c r="I118" s="84">
        <v>5</v>
      </c>
      <c r="J118" s="85">
        <f t="shared" si="39"/>
        <v>5</v>
      </c>
      <c r="K118" s="85">
        <v>1</v>
      </c>
      <c r="L118" s="84">
        <f t="shared" si="40"/>
        <v>5</v>
      </c>
      <c r="M118" s="86" t="s">
        <v>610</v>
      </c>
      <c r="N118" s="87" t="s">
        <v>673</v>
      </c>
      <c r="O118" s="93" t="s">
        <v>689</v>
      </c>
      <c r="P118" s="82"/>
      <c r="Q118" s="82" t="s">
        <v>681</v>
      </c>
      <c r="R118" s="88"/>
    </row>
    <row r="119" spans="1:18" s="89" customFormat="1" ht="42.75">
      <c r="A119" s="90"/>
      <c r="B119" s="91"/>
      <c r="C119" s="92"/>
      <c r="D119" s="83" t="s">
        <v>36</v>
      </c>
      <c r="E119" s="83" t="s">
        <v>67</v>
      </c>
      <c r="F119" s="92" t="str">
        <f t="shared" si="41"/>
        <v/>
      </c>
      <c r="G119" s="84">
        <v>1</v>
      </c>
      <c r="H119" s="84">
        <v>1</v>
      </c>
      <c r="I119" s="84">
        <v>5</v>
      </c>
      <c r="J119" s="85">
        <f t="shared" si="39"/>
        <v>5</v>
      </c>
      <c r="K119" s="85">
        <v>1</v>
      </c>
      <c r="L119" s="94">
        <f t="shared" si="40"/>
        <v>5</v>
      </c>
      <c r="M119" s="86" t="s">
        <v>822</v>
      </c>
      <c r="N119" s="87" t="s">
        <v>673</v>
      </c>
      <c r="O119" s="87" t="s">
        <v>672</v>
      </c>
      <c r="P119" s="82"/>
      <c r="Q119" s="82" t="s">
        <v>679</v>
      </c>
      <c r="R119" s="87"/>
    </row>
    <row r="120" spans="1:18" s="89" customFormat="1" ht="42.75">
      <c r="A120" s="90"/>
      <c r="B120" s="91"/>
      <c r="C120" s="92"/>
      <c r="D120" s="83" t="s">
        <v>50</v>
      </c>
      <c r="E120" s="103" t="s">
        <v>72</v>
      </c>
      <c r="F120" s="92" t="str">
        <f t="shared" si="41"/>
        <v/>
      </c>
      <c r="G120" s="84">
        <v>1</v>
      </c>
      <c r="H120" s="84">
        <v>1</v>
      </c>
      <c r="I120" s="84">
        <v>5</v>
      </c>
      <c r="J120" s="85">
        <f t="shared" si="39"/>
        <v>5</v>
      </c>
      <c r="K120" s="85">
        <v>1</v>
      </c>
      <c r="L120" s="94">
        <f t="shared" si="40"/>
        <v>5</v>
      </c>
      <c r="M120" s="86" t="s">
        <v>811</v>
      </c>
      <c r="N120" s="87" t="s">
        <v>673</v>
      </c>
      <c r="O120" s="87" t="s">
        <v>683</v>
      </c>
      <c r="P120" s="82"/>
      <c r="Q120" s="82" t="s">
        <v>679</v>
      </c>
      <c r="R120" s="87"/>
    </row>
    <row r="121" spans="1:18" s="89" customFormat="1">
      <c r="A121" s="95"/>
      <c r="B121" s="96"/>
      <c r="C121" s="97"/>
      <c r="D121" s="83"/>
      <c r="E121" s="103"/>
      <c r="F121" s="97"/>
      <c r="G121" s="84"/>
      <c r="H121" s="84"/>
      <c r="I121" s="84"/>
      <c r="J121" s="85"/>
      <c r="K121" s="85"/>
      <c r="L121" s="94"/>
      <c r="M121" s="86"/>
      <c r="N121" s="87"/>
      <c r="O121" s="87"/>
      <c r="P121" s="83"/>
      <c r="Q121" s="83"/>
      <c r="R121" s="87"/>
    </row>
    <row r="122" spans="1:18" s="89" customFormat="1" ht="69.75" customHeight="1">
      <c r="A122" s="80">
        <v>17</v>
      </c>
      <c r="B122" s="120" t="s">
        <v>753</v>
      </c>
      <c r="C122" s="82" t="s">
        <v>744</v>
      </c>
      <c r="D122" s="83" t="s">
        <v>112</v>
      </c>
      <c r="E122" s="83" t="s">
        <v>600</v>
      </c>
      <c r="F122" s="82" t="s">
        <v>744</v>
      </c>
      <c r="G122" s="84">
        <v>5</v>
      </c>
      <c r="H122" s="84">
        <v>5</v>
      </c>
      <c r="I122" s="84">
        <v>5</v>
      </c>
      <c r="J122" s="85">
        <f>IF(MAX(G122:I122)=0,"",MAX(G122:I122))</f>
        <v>5</v>
      </c>
      <c r="K122" s="85">
        <v>1</v>
      </c>
      <c r="L122" s="84">
        <f>IFERROR(J122*K122,"")</f>
        <v>5</v>
      </c>
      <c r="M122" s="86" t="s">
        <v>571</v>
      </c>
      <c r="N122" s="87" t="s">
        <v>673</v>
      </c>
      <c r="O122" s="87" t="s">
        <v>687</v>
      </c>
      <c r="P122" s="82"/>
      <c r="Q122" s="82" t="s">
        <v>681</v>
      </c>
      <c r="R122" s="88"/>
    </row>
    <row r="123" spans="1:18" s="89" customFormat="1" ht="57">
      <c r="A123" s="90"/>
      <c r="B123" s="91"/>
      <c r="C123" s="92"/>
      <c r="D123" s="83" t="s">
        <v>36</v>
      </c>
      <c r="E123" s="83" t="s">
        <v>67</v>
      </c>
      <c r="F123" s="92" t="str">
        <f>IF($C123&lt;&gt;"",C123,"")</f>
        <v/>
      </c>
      <c r="G123" s="84">
        <v>1</v>
      </c>
      <c r="H123" s="84">
        <v>1</v>
      </c>
      <c r="I123" s="84">
        <v>5</v>
      </c>
      <c r="J123" s="85">
        <f t="shared" ref="J123:J132" si="42">IF(MAX(G123:I123)=0,"",MAX(G123:I123))</f>
        <v>5</v>
      </c>
      <c r="K123" s="85">
        <v>1</v>
      </c>
      <c r="L123" s="84">
        <f t="shared" ref="L123:L132" si="43">IFERROR(J123*K123,"")</f>
        <v>5</v>
      </c>
      <c r="M123" s="86" t="s">
        <v>809</v>
      </c>
      <c r="N123" s="87" t="s">
        <v>673</v>
      </c>
      <c r="O123" s="93" t="s">
        <v>677</v>
      </c>
      <c r="P123" s="82"/>
      <c r="Q123" s="82" t="s">
        <v>679</v>
      </c>
      <c r="R123" s="93"/>
    </row>
    <row r="124" spans="1:18" s="89" customFormat="1" ht="57">
      <c r="A124" s="90"/>
      <c r="B124" s="91"/>
      <c r="C124" s="92"/>
      <c r="D124" s="83" t="s">
        <v>25</v>
      </c>
      <c r="E124" s="83" t="s">
        <v>69</v>
      </c>
      <c r="F124" s="92" t="str">
        <f>IF($C124&lt;&gt;"",C124,"")</f>
        <v/>
      </c>
      <c r="G124" s="84">
        <v>1</v>
      </c>
      <c r="H124" s="84">
        <v>1</v>
      </c>
      <c r="I124" s="84">
        <v>5</v>
      </c>
      <c r="J124" s="85">
        <f t="shared" si="42"/>
        <v>5</v>
      </c>
      <c r="K124" s="85">
        <v>1</v>
      </c>
      <c r="L124" s="84">
        <f t="shared" si="43"/>
        <v>5</v>
      </c>
      <c r="M124" s="86" t="s">
        <v>616</v>
      </c>
      <c r="N124" s="87" t="s">
        <v>673</v>
      </c>
      <c r="O124" s="93" t="s">
        <v>677</v>
      </c>
      <c r="P124" s="82"/>
      <c r="Q124" s="82" t="s">
        <v>679</v>
      </c>
      <c r="R124" s="93"/>
    </row>
    <row r="125" spans="1:18" s="89" customFormat="1" ht="57">
      <c r="A125" s="90"/>
      <c r="B125" s="91"/>
      <c r="C125" s="92"/>
      <c r="D125" s="83" t="s">
        <v>25</v>
      </c>
      <c r="E125" s="83" t="s">
        <v>81</v>
      </c>
      <c r="F125" s="92"/>
      <c r="G125" s="84">
        <v>1</v>
      </c>
      <c r="H125" s="84">
        <v>1</v>
      </c>
      <c r="I125" s="84">
        <v>5</v>
      </c>
      <c r="J125" s="85">
        <f t="shared" si="42"/>
        <v>5</v>
      </c>
      <c r="K125" s="85">
        <v>1</v>
      </c>
      <c r="L125" s="84">
        <f t="shared" si="43"/>
        <v>5</v>
      </c>
      <c r="M125" s="86" t="s">
        <v>614</v>
      </c>
      <c r="N125" s="87" t="s">
        <v>673</v>
      </c>
      <c r="O125" s="93" t="s">
        <v>677</v>
      </c>
      <c r="P125" s="82"/>
      <c r="Q125" s="82" t="s">
        <v>679</v>
      </c>
      <c r="R125" s="93"/>
    </row>
    <row r="126" spans="1:18" s="89" customFormat="1" ht="57">
      <c r="A126" s="90"/>
      <c r="B126" s="91"/>
      <c r="C126" s="92"/>
      <c r="D126" s="83" t="s">
        <v>25</v>
      </c>
      <c r="E126" s="83" t="s">
        <v>90</v>
      </c>
      <c r="F126" s="92"/>
      <c r="G126" s="84">
        <v>1</v>
      </c>
      <c r="H126" s="84">
        <v>1</v>
      </c>
      <c r="I126" s="84">
        <v>5</v>
      </c>
      <c r="J126" s="85">
        <f t="shared" si="42"/>
        <v>5</v>
      </c>
      <c r="K126" s="85">
        <v>1</v>
      </c>
      <c r="L126" s="84">
        <f t="shared" si="43"/>
        <v>5</v>
      </c>
      <c r="M126" s="86" t="s">
        <v>615</v>
      </c>
      <c r="N126" s="87" t="s">
        <v>673</v>
      </c>
      <c r="O126" s="93" t="s">
        <v>677</v>
      </c>
      <c r="P126" s="82"/>
      <c r="Q126" s="82" t="s">
        <v>679</v>
      </c>
      <c r="R126" s="93"/>
    </row>
    <row r="127" spans="1:18" s="89" customFormat="1" ht="57">
      <c r="A127" s="90"/>
      <c r="B127" s="91"/>
      <c r="C127" s="92"/>
      <c r="D127" s="83" t="s">
        <v>25</v>
      </c>
      <c r="E127" s="83" t="s">
        <v>91</v>
      </c>
      <c r="F127" s="92"/>
      <c r="G127" s="84">
        <v>1</v>
      </c>
      <c r="H127" s="84">
        <v>1</v>
      </c>
      <c r="I127" s="84">
        <v>5</v>
      </c>
      <c r="J127" s="85">
        <f t="shared" si="42"/>
        <v>5</v>
      </c>
      <c r="K127" s="85">
        <v>1</v>
      </c>
      <c r="L127" s="84">
        <f t="shared" si="43"/>
        <v>5</v>
      </c>
      <c r="M127" s="86" t="s">
        <v>574</v>
      </c>
      <c r="N127" s="87" t="s">
        <v>673</v>
      </c>
      <c r="O127" s="93" t="s">
        <v>677</v>
      </c>
      <c r="P127" s="82"/>
      <c r="Q127" s="82" t="s">
        <v>679</v>
      </c>
      <c r="R127" s="93"/>
    </row>
    <row r="128" spans="1:18" s="89" customFormat="1" ht="57">
      <c r="A128" s="90"/>
      <c r="B128" s="91"/>
      <c r="C128" s="92"/>
      <c r="D128" s="83" t="s">
        <v>27</v>
      </c>
      <c r="E128" s="83" t="s">
        <v>80</v>
      </c>
      <c r="F128" s="92" t="str">
        <f t="shared" ref="F128:F132" si="44">IF($C128&lt;&gt;"",C128,"")</f>
        <v/>
      </c>
      <c r="G128" s="84">
        <v>1</v>
      </c>
      <c r="H128" s="84">
        <v>1</v>
      </c>
      <c r="I128" s="84">
        <v>5</v>
      </c>
      <c r="J128" s="85">
        <f t="shared" si="42"/>
        <v>5</v>
      </c>
      <c r="K128" s="85">
        <v>1</v>
      </c>
      <c r="L128" s="84">
        <f t="shared" si="43"/>
        <v>5</v>
      </c>
      <c r="M128" s="86" t="s">
        <v>602</v>
      </c>
      <c r="N128" s="87" t="s">
        <v>676</v>
      </c>
      <c r="O128" s="87" t="s">
        <v>678</v>
      </c>
      <c r="P128" s="82"/>
      <c r="Q128" s="82" t="s">
        <v>680</v>
      </c>
      <c r="R128" s="87"/>
    </row>
    <row r="129" spans="1:18" s="89" customFormat="1" ht="57">
      <c r="A129" s="90"/>
      <c r="B129" s="91"/>
      <c r="C129" s="92"/>
      <c r="D129" s="83" t="s">
        <v>32</v>
      </c>
      <c r="E129" s="83" t="s">
        <v>91</v>
      </c>
      <c r="F129" s="92" t="str">
        <f t="shared" si="44"/>
        <v/>
      </c>
      <c r="G129" s="84">
        <v>1</v>
      </c>
      <c r="H129" s="84">
        <v>1</v>
      </c>
      <c r="I129" s="84">
        <v>5</v>
      </c>
      <c r="J129" s="85">
        <f t="shared" si="42"/>
        <v>5</v>
      </c>
      <c r="K129" s="85">
        <v>1</v>
      </c>
      <c r="L129" s="84">
        <f t="shared" si="43"/>
        <v>5</v>
      </c>
      <c r="M129" s="86" t="s">
        <v>603</v>
      </c>
      <c r="N129" s="87" t="s">
        <v>676</v>
      </c>
      <c r="O129" s="87" t="s">
        <v>678</v>
      </c>
      <c r="P129" s="82"/>
      <c r="Q129" s="82" t="s">
        <v>680</v>
      </c>
      <c r="R129" s="87"/>
    </row>
    <row r="130" spans="1:18" s="89" customFormat="1" ht="42.75">
      <c r="A130" s="90"/>
      <c r="B130" s="91"/>
      <c r="C130" s="92"/>
      <c r="D130" s="83" t="s">
        <v>19</v>
      </c>
      <c r="E130" s="83" t="s">
        <v>70</v>
      </c>
      <c r="F130" s="92" t="str">
        <f t="shared" si="44"/>
        <v/>
      </c>
      <c r="G130" s="84">
        <v>1</v>
      </c>
      <c r="H130" s="84">
        <v>1</v>
      </c>
      <c r="I130" s="84">
        <v>5</v>
      </c>
      <c r="J130" s="85">
        <f t="shared" si="42"/>
        <v>5</v>
      </c>
      <c r="K130" s="85">
        <v>1</v>
      </c>
      <c r="L130" s="84">
        <f t="shared" si="43"/>
        <v>5</v>
      </c>
      <c r="M130" s="86" t="s">
        <v>610</v>
      </c>
      <c r="N130" s="87" t="s">
        <v>673</v>
      </c>
      <c r="O130" s="93" t="s">
        <v>689</v>
      </c>
      <c r="P130" s="82"/>
      <c r="Q130" s="82" t="s">
        <v>681</v>
      </c>
      <c r="R130" s="88"/>
    </row>
    <row r="131" spans="1:18" s="89" customFormat="1" ht="42.75">
      <c r="A131" s="90"/>
      <c r="B131" s="91"/>
      <c r="C131" s="92"/>
      <c r="D131" s="83" t="s">
        <v>36</v>
      </c>
      <c r="E131" s="83" t="s">
        <v>67</v>
      </c>
      <c r="F131" s="92" t="str">
        <f t="shared" si="44"/>
        <v/>
      </c>
      <c r="G131" s="84">
        <v>1</v>
      </c>
      <c r="H131" s="84">
        <v>1</v>
      </c>
      <c r="I131" s="84">
        <v>5</v>
      </c>
      <c r="J131" s="85">
        <f t="shared" si="42"/>
        <v>5</v>
      </c>
      <c r="K131" s="85">
        <v>1</v>
      </c>
      <c r="L131" s="94">
        <f t="shared" si="43"/>
        <v>5</v>
      </c>
      <c r="M131" s="86" t="s">
        <v>821</v>
      </c>
      <c r="N131" s="87" t="s">
        <v>673</v>
      </c>
      <c r="O131" s="87" t="s">
        <v>672</v>
      </c>
      <c r="P131" s="82"/>
      <c r="Q131" s="82" t="s">
        <v>679</v>
      </c>
      <c r="R131" s="87"/>
    </row>
    <row r="132" spans="1:18" s="89" customFormat="1" ht="42.75">
      <c r="A132" s="90"/>
      <c r="B132" s="91"/>
      <c r="C132" s="92"/>
      <c r="D132" s="83" t="s">
        <v>50</v>
      </c>
      <c r="E132" s="103" t="s">
        <v>72</v>
      </c>
      <c r="F132" s="92" t="str">
        <f t="shared" si="44"/>
        <v/>
      </c>
      <c r="G132" s="84">
        <v>1</v>
      </c>
      <c r="H132" s="84">
        <v>1</v>
      </c>
      <c r="I132" s="84">
        <v>5</v>
      </c>
      <c r="J132" s="85">
        <f t="shared" si="42"/>
        <v>5</v>
      </c>
      <c r="K132" s="85">
        <v>1</v>
      </c>
      <c r="L132" s="94">
        <f t="shared" si="43"/>
        <v>5</v>
      </c>
      <c r="M132" s="86" t="s">
        <v>811</v>
      </c>
      <c r="N132" s="87" t="s">
        <v>673</v>
      </c>
      <c r="O132" s="87" t="s">
        <v>683</v>
      </c>
      <c r="P132" s="82"/>
      <c r="Q132" s="82" t="s">
        <v>679</v>
      </c>
      <c r="R132" s="87"/>
    </row>
    <row r="133" spans="1:18" s="89" customFormat="1">
      <c r="A133" s="95"/>
      <c r="B133" s="96"/>
      <c r="C133" s="97"/>
      <c r="D133" s="83"/>
      <c r="E133" s="103"/>
      <c r="F133" s="97"/>
      <c r="G133" s="84"/>
      <c r="H133" s="84"/>
      <c r="I133" s="84"/>
      <c r="J133" s="85"/>
      <c r="K133" s="85"/>
      <c r="L133" s="94"/>
      <c r="M133" s="86"/>
      <c r="N133" s="87"/>
      <c r="O133" s="87"/>
      <c r="P133" s="83"/>
      <c r="Q133" s="83"/>
      <c r="R133" s="87"/>
    </row>
    <row r="134" spans="1:18" s="89" customFormat="1" ht="69.75" customHeight="1">
      <c r="A134" s="80">
        <v>18</v>
      </c>
      <c r="B134" s="120" t="s">
        <v>762</v>
      </c>
      <c r="C134" s="82" t="s">
        <v>744</v>
      </c>
      <c r="D134" s="83" t="s">
        <v>112</v>
      </c>
      <c r="E134" s="83" t="s">
        <v>600</v>
      </c>
      <c r="F134" s="82" t="s">
        <v>744</v>
      </c>
      <c r="G134" s="84">
        <v>5</v>
      </c>
      <c r="H134" s="84">
        <v>5</v>
      </c>
      <c r="I134" s="84">
        <v>5</v>
      </c>
      <c r="J134" s="85">
        <f>IF(MAX(G134:I134)=0,"",MAX(G134:I134))</f>
        <v>5</v>
      </c>
      <c r="K134" s="85">
        <v>1</v>
      </c>
      <c r="L134" s="84">
        <f>IFERROR(J134*K134,"")</f>
        <v>5</v>
      </c>
      <c r="M134" s="86" t="s">
        <v>814</v>
      </c>
      <c r="N134" s="87" t="s">
        <v>673</v>
      </c>
      <c r="O134" s="87" t="s">
        <v>687</v>
      </c>
      <c r="P134" s="82" t="s">
        <v>744</v>
      </c>
      <c r="Q134" s="82" t="s">
        <v>681</v>
      </c>
      <c r="R134" s="88"/>
    </row>
    <row r="135" spans="1:18" s="89" customFormat="1" ht="57">
      <c r="A135" s="90"/>
      <c r="B135" s="91"/>
      <c r="C135" s="92"/>
      <c r="D135" s="83" t="s">
        <v>47</v>
      </c>
      <c r="E135" s="83" t="s">
        <v>600</v>
      </c>
      <c r="F135" s="92" t="str">
        <f>IF($C135&lt;&gt;"",C135,"")</f>
        <v/>
      </c>
      <c r="G135" s="84">
        <v>1</v>
      </c>
      <c r="H135" s="84">
        <v>1</v>
      </c>
      <c r="I135" s="84">
        <v>5</v>
      </c>
      <c r="J135" s="85">
        <f t="shared" ref="J135:J138" si="45">IF(MAX(G135:I135)=0,"",MAX(G135:I135))</f>
        <v>5</v>
      </c>
      <c r="K135" s="85">
        <v>1</v>
      </c>
      <c r="L135" s="84">
        <f t="shared" ref="L135:L138" si="46">IFERROR(J135*K135,"")</f>
        <v>5</v>
      </c>
      <c r="M135" s="86" t="s">
        <v>815</v>
      </c>
      <c r="N135" s="87" t="s">
        <v>673</v>
      </c>
      <c r="O135" s="87" t="s">
        <v>672</v>
      </c>
      <c r="P135" s="82"/>
      <c r="Q135" s="82" t="s">
        <v>679</v>
      </c>
      <c r="R135" s="87"/>
    </row>
    <row r="136" spans="1:18" s="89" customFormat="1" ht="57">
      <c r="A136" s="90"/>
      <c r="B136" s="91"/>
      <c r="C136" s="92"/>
      <c r="D136" s="83" t="s">
        <v>20</v>
      </c>
      <c r="E136" s="83" t="s">
        <v>816</v>
      </c>
      <c r="F136" s="92" t="str">
        <f>IF($C136&lt;&gt;"",C136,"")</f>
        <v/>
      </c>
      <c r="G136" s="84">
        <v>1</v>
      </c>
      <c r="H136" s="84">
        <v>1</v>
      </c>
      <c r="I136" s="84">
        <v>5</v>
      </c>
      <c r="J136" s="85">
        <f t="shared" si="45"/>
        <v>5</v>
      </c>
      <c r="K136" s="85">
        <v>1</v>
      </c>
      <c r="L136" s="84">
        <f t="shared" si="46"/>
        <v>5</v>
      </c>
      <c r="M136" s="86" t="s">
        <v>817</v>
      </c>
      <c r="N136" s="87" t="s">
        <v>673</v>
      </c>
      <c r="O136" s="93" t="s">
        <v>677</v>
      </c>
      <c r="P136" s="82"/>
      <c r="Q136" s="82" t="s">
        <v>679</v>
      </c>
      <c r="R136" s="93"/>
    </row>
    <row r="137" spans="1:18" s="89" customFormat="1" ht="57">
      <c r="A137" s="90"/>
      <c r="B137" s="91"/>
      <c r="C137" s="92"/>
      <c r="D137" s="83" t="s">
        <v>27</v>
      </c>
      <c r="E137" s="83" t="s">
        <v>80</v>
      </c>
      <c r="F137" s="92" t="str">
        <f t="shared" ref="F137:F138" si="47">IF($C137&lt;&gt;"",C137,"")</f>
        <v/>
      </c>
      <c r="G137" s="84">
        <v>1</v>
      </c>
      <c r="H137" s="84">
        <v>1</v>
      </c>
      <c r="I137" s="84">
        <v>5</v>
      </c>
      <c r="J137" s="85">
        <f t="shared" si="45"/>
        <v>5</v>
      </c>
      <c r="K137" s="85">
        <v>1</v>
      </c>
      <c r="L137" s="84">
        <f t="shared" si="46"/>
        <v>5</v>
      </c>
      <c r="M137" s="86" t="s">
        <v>602</v>
      </c>
      <c r="N137" s="87" t="s">
        <v>676</v>
      </c>
      <c r="O137" s="87" t="s">
        <v>678</v>
      </c>
      <c r="P137" s="82"/>
      <c r="Q137" s="82" t="s">
        <v>680</v>
      </c>
      <c r="R137" s="87"/>
    </row>
    <row r="138" spans="1:18" s="89" customFormat="1">
      <c r="A138" s="95"/>
      <c r="B138" s="96"/>
      <c r="C138" s="97"/>
      <c r="D138" s="83"/>
      <c r="E138" s="83"/>
      <c r="F138" s="97" t="str">
        <f t="shared" si="47"/>
        <v/>
      </c>
      <c r="G138" s="84"/>
      <c r="H138" s="84"/>
      <c r="I138" s="84"/>
      <c r="J138" s="85" t="str">
        <f t="shared" si="45"/>
        <v/>
      </c>
      <c r="K138" s="85"/>
      <c r="L138" s="94" t="str">
        <f t="shared" si="46"/>
        <v/>
      </c>
      <c r="M138" s="86"/>
      <c r="N138" s="93"/>
      <c r="O138" s="93"/>
      <c r="P138" s="82"/>
      <c r="Q138" s="82"/>
      <c r="R138" s="93"/>
    </row>
    <row r="139" spans="1:18" s="89" customFormat="1" ht="102" customHeight="1">
      <c r="A139" s="80">
        <v>19</v>
      </c>
      <c r="B139" s="120" t="s">
        <v>770</v>
      </c>
      <c r="C139" s="82" t="s">
        <v>744</v>
      </c>
      <c r="D139" s="83" t="s">
        <v>112</v>
      </c>
      <c r="E139" s="83" t="s">
        <v>569</v>
      </c>
      <c r="F139" s="82" t="s">
        <v>744</v>
      </c>
      <c r="G139" s="84">
        <v>5</v>
      </c>
      <c r="H139" s="84">
        <v>5</v>
      </c>
      <c r="I139" s="84">
        <v>5</v>
      </c>
      <c r="J139" s="85">
        <f>IF(MAX(G139:I139)=0,"",MAX(G139:I139))</f>
        <v>5</v>
      </c>
      <c r="K139" s="85">
        <v>1</v>
      </c>
      <c r="L139" s="84">
        <f>IFERROR(J139*K139,"")</f>
        <v>5</v>
      </c>
      <c r="M139" s="86" t="s">
        <v>571</v>
      </c>
      <c r="N139" s="87" t="s">
        <v>673</v>
      </c>
      <c r="O139" s="87" t="s">
        <v>665</v>
      </c>
      <c r="P139" s="82" t="s">
        <v>748</v>
      </c>
      <c r="Q139" s="82" t="s">
        <v>679</v>
      </c>
      <c r="R139" s="88"/>
    </row>
    <row r="140" spans="1:18" s="89" customFormat="1" ht="42.75">
      <c r="A140" s="90"/>
      <c r="B140" s="91"/>
      <c r="C140" s="92"/>
      <c r="D140" s="83" t="s">
        <v>11</v>
      </c>
      <c r="E140" s="83" t="s">
        <v>67</v>
      </c>
      <c r="F140" s="92" t="str">
        <f>IF($C140&lt;&gt;"",C140,"")</f>
        <v/>
      </c>
      <c r="G140" s="84">
        <v>1</v>
      </c>
      <c r="H140" s="84">
        <v>1</v>
      </c>
      <c r="I140" s="84">
        <v>5</v>
      </c>
      <c r="J140" s="85">
        <f t="shared" ref="J140:J150" si="48">IF(MAX(G140:I140)=0,"",MAX(G140:I140))</f>
        <v>5</v>
      </c>
      <c r="K140" s="85">
        <v>1</v>
      </c>
      <c r="L140" s="84">
        <f t="shared" ref="L140:L150" si="49">IFERROR(J140*K140,"")</f>
        <v>5</v>
      </c>
      <c r="M140" s="86" t="s">
        <v>786</v>
      </c>
      <c r="N140" s="87" t="s">
        <v>673</v>
      </c>
      <c r="O140" s="87" t="s">
        <v>672</v>
      </c>
      <c r="P140" s="82"/>
      <c r="Q140" s="82" t="s">
        <v>679</v>
      </c>
      <c r="R140" s="93"/>
    </row>
    <row r="141" spans="1:18" s="89" customFormat="1" ht="57">
      <c r="A141" s="90"/>
      <c r="B141" s="91"/>
      <c r="C141" s="92"/>
      <c r="D141" s="83" t="s">
        <v>25</v>
      </c>
      <c r="E141" s="83" t="s">
        <v>69</v>
      </c>
      <c r="F141" s="92" t="str">
        <f>IF($C141&lt;&gt;"",C141,"")</f>
        <v/>
      </c>
      <c r="G141" s="84">
        <v>1</v>
      </c>
      <c r="H141" s="84">
        <v>1</v>
      </c>
      <c r="I141" s="84">
        <v>5</v>
      </c>
      <c r="J141" s="85">
        <f t="shared" si="48"/>
        <v>5</v>
      </c>
      <c r="K141" s="85">
        <v>1</v>
      </c>
      <c r="L141" s="84">
        <f t="shared" si="49"/>
        <v>5</v>
      </c>
      <c r="M141" s="86" t="s">
        <v>570</v>
      </c>
      <c r="N141" s="87" t="s">
        <v>673</v>
      </c>
      <c r="O141" s="87" t="s">
        <v>677</v>
      </c>
      <c r="P141" s="82"/>
      <c r="Q141" s="82" t="s">
        <v>679</v>
      </c>
      <c r="R141" s="93"/>
    </row>
    <row r="142" spans="1:18" s="89" customFormat="1" ht="71.25">
      <c r="A142" s="90"/>
      <c r="B142" s="91"/>
      <c r="C142" s="92"/>
      <c r="D142" s="83" t="s">
        <v>25</v>
      </c>
      <c r="E142" s="83" t="s">
        <v>81</v>
      </c>
      <c r="F142" s="92"/>
      <c r="G142" s="84">
        <v>1</v>
      </c>
      <c r="H142" s="84">
        <v>1</v>
      </c>
      <c r="I142" s="84">
        <v>5</v>
      </c>
      <c r="J142" s="85">
        <f t="shared" si="48"/>
        <v>5</v>
      </c>
      <c r="K142" s="85">
        <v>1</v>
      </c>
      <c r="L142" s="84">
        <f t="shared" si="49"/>
        <v>5</v>
      </c>
      <c r="M142" s="86" t="s">
        <v>787</v>
      </c>
      <c r="N142" s="87" t="s">
        <v>673</v>
      </c>
      <c r="O142" s="87" t="s">
        <v>677</v>
      </c>
      <c r="P142" s="82"/>
      <c r="Q142" s="82" t="s">
        <v>679</v>
      </c>
      <c r="R142" s="93"/>
    </row>
    <row r="143" spans="1:18" s="89" customFormat="1" ht="57">
      <c r="A143" s="90"/>
      <c r="B143" s="91"/>
      <c r="C143" s="92"/>
      <c r="D143" s="83" t="s">
        <v>25</v>
      </c>
      <c r="E143" s="83" t="s">
        <v>90</v>
      </c>
      <c r="F143" s="92"/>
      <c r="G143" s="84">
        <v>1</v>
      </c>
      <c r="H143" s="84">
        <v>1</v>
      </c>
      <c r="I143" s="84">
        <v>5</v>
      </c>
      <c r="J143" s="85">
        <f t="shared" si="48"/>
        <v>5</v>
      </c>
      <c r="K143" s="85">
        <v>1</v>
      </c>
      <c r="L143" s="84">
        <f t="shared" si="49"/>
        <v>5</v>
      </c>
      <c r="M143" s="86" t="s">
        <v>572</v>
      </c>
      <c r="N143" s="87" t="s">
        <v>673</v>
      </c>
      <c r="O143" s="87" t="s">
        <v>677</v>
      </c>
      <c r="P143" s="82"/>
      <c r="Q143" s="82" t="s">
        <v>679</v>
      </c>
      <c r="R143" s="93"/>
    </row>
    <row r="144" spans="1:18" s="89" customFormat="1" ht="57">
      <c r="A144" s="90"/>
      <c r="B144" s="91"/>
      <c r="C144" s="92"/>
      <c r="D144" s="83" t="s">
        <v>25</v>
      </c>
      <c r="E144" s="83" t="s">
        <v>91</v>
      </c>
      <c r="F144" s="92"/>
      <c r="G144" s="84">
        <v>1</v>
      </c>
      <c r="H144" s="84">
        <v>1</v>
      </c>
      <c r="I144" s="84">
        <v>5</v>
      </c>
      <c r="J144" s="85">
        <f t="shared" si="48"/>
        <v>5</v>
      </c>
      <c r="K144" s="85">
        <v>1</v>
      </c>
      <c r="L144" s="84">
        <f t="shared" si="49"/>
        <v>5</v>
      </c>
      <c r="M144" s="86" t="s">
        <v>788</v>
      </c>
      <c r="N144" s="87" t="s">
        <v>673</v>
      </c>
      <c r="O144" s="87" t="s">
        <v>677</v>
      </c>
      <c r="P144" s="82"/>
      <c r="Q144" s="82" t="s">
        <v>679</v>
      </c>
      <c r="R144" s="93"/>
    </row>
    <row r="145" spans="1:18" s="89" customFormat="1" ht="127.5" customHeight="1">
      <c r="A145" s="90"/>
      <c r="B145" s="91"/>
      <c r="C145" s="92"/>
      <c r="D145" s="83" t="s">
        <v>27</v>
      </c>
      <c r="E145" s="83" t="s">
        <v>80</v>
      </c>
      <c r="F145" s="92" t="str">
        <f t="shared" ref="F145:F150" si="50">IF($C145&lt;&gt;"",C145,"")</f>
        <v/>
      </c>
      <c r="G145" s="84">
        <v>1</v>
      </c>
      <c r="H145" s="84">
        <v>1</v>
      </c>
      <c r="I145" s="84">
        <v>5</v>
      </c>
      <c r="J145" s="85">
        <f t="shared" si="48"/>
        <v>5</v>
      </c>
      <c r="K145" s="85">
        <v>1</v>
      </c>
      <c r="L145" s="84">
        <f t="shared" si="49"/>
        <v>5</v>
      </c>
      <c r="M145" s="86" t="s">
        <v>789</v>
      </c>
      <c r="N145" s="87" t="s">
        <v>676</v>
      </c>
      <c r="O145" s="87" t="s">
        <v>678</v>
      </c>
      <c r="P145" s="82"/>
      <c r="Q145" s="82" t="s">
        <v>680</v>
      </c>
      <c r="R145" s="93"/>
    </row>
    <row r="146" spans="1:18" s="89" customFormat="1" ht="72.75" customHeight="1">
      <c r="A146" s="90"/>
      <c r="B146" s="91"/>
      <c r="C146" s="92"/>
      <c r="D146" s="83" t="s">
        <v>32</v>
      </c>
      <c r="E146" s="83" t="s">
        <v>91</v>
      </c>
      <c r="F146" s="92" t="str">
        <f t="shared" si="50"/>
        <v/>
      </c>
      <c r="G146" s="84">
        <v>1</v>
      </c>
      <c r="H146" s="84">
        <v>1</v>
      </c>
      <c r="I146" s="84">
        <v>5</v>
      </c>
      <c r="J146" s="85">
        <f t="shared" si="48"/>
        <v>5</v>
      </c>
      <c r="K146" s="85">
        <v>1</v>
      </c>
      <c r="L146" s="84">
        <f t="shared" si="49"/>
        <v>5</v>
      </c>
      <c r="M146" s="86" t="s">
        <v>576</v>
      </c>
      <c r="N146" s="87" t="s">
        <v>676</v>
      </c>
      <c r="O146" s="87" t="s">
        <v>678</v>
      </c>
      <c r="P146" s="82"/>
      <c r="Q146" s="82" t="s">
        <v>680</v>
      </c>
      <c r="R146" s="87"/>
    </row>
    <row r="147" spans="1:18" s="89" customFormat="1" ht="72.75" customHeight="1">
      <c r="A147" s="90"/>
      <c r="B147" s="91"/>
      <c r="C147" s="92"/>
      <c r="D147" s="83" t="s">
        <v>38</v>
      </c>
      <c r="E147" s="83" t="s">
        <v>68</v>
      </c>
      <c r="F147" s="92" t="str">
        <f t="shared" si="50"/>
        <v/>
      </c>
      <c r="G147" s="84">
        <v>5</v>
      </c>
      <c r="H147" s="84">
        <v>1</v>
      </c>
      <c r="I147" s="84">
        <v>1</v>
      </c>
      <c r="J147" s="85">
        <f t="shared" si="48"/>
        <v>5</v>
      </c>
      <c r="K147" s="85">
        <v>1</v>
      </c>
      <c r="L147" s="94">
        <f t="shared" si="49"/>
        <v>5</v>
      </c>
      <c r="M147" s="86" t="s">
        <v>826</v>
      </c>
      <c r="N147" s="87" t="s">
        <v>673</v>
      </c>
      <c r="O147" s="87" t="s">
        <v>682</v>
      </c>
      <c r="P147" s="82"/>
      <c r="Q147" s="82" t="s">
        <v>679</v>
      </c>
      <c r="R147" s="87"/>
    </row>
    <row r="148" spans="1:18" s="89" customFormat="1" ht="80.25" customHeight="1">
      <c r="A148" s="90"/>
      <c r="B148" s="91"/>
      <c r="C148" s="92"/>
      <c r="D148" s="83" t="s">
        <v>38</v>
      </c>
      <c r="E148" s="83" t="s">
        <v>72</v>
      </c>
      <c r="F148" s="92" t="str">
        <f t="shared" si="50"/>
        <v/>
      </c>
      <c r="G148" s="84">
        <v>5</v>
      </c>
      <c r="H148" s="84">
        <v>5</v>
      </c>
      <c r="I148" s="84">
        <v>5</v>
      </c>
      <c r="J148" s="85">
        <f t="shared" si="48"/>
        <v>5</v>
      </c>
      <c r="K148" s="85">
        <v>1</v>
      </c>
      <c r="L148" s="94">
        <f t="shared" si="49"/>
        <v>5</v>
      </c>
      <c r="M148" s="86" t="s">
        <v>577</v>
      </c>
      <c r="N148" s="87" t="s">
        <v>673</v>
      </c>
      <c r="O148" s="87" t="s">
        <v>683</v>
      </c>
      <c r="P148" s="82"/>
      <c r="Q148" s="82" t="s">
        <v>679</v>
      </c>
      <c r="R148" s="87"/>
    </row>
    <row r="149" spans="1:18" s="89" customFormat="1" ht="57">
      <c r="A149" s="90"/>
      <c r="B149" s="91"/>
      <c r="C149" s="92"/>
      <c r="D149" s="83" t="s">
        <v>21</v>
      </c>
      <c r="E149" s="83" t="s">
        <v>579</v>
      </c>
      <c r="F149" s="92" t="str">
        <f t="shared" si="50"/>
        <v/>
      </c>
      <c r="G149" s="84">
        <v>1</v>
      </c>
      <c r="H149" s="84">
        <v>1</v>
      </c>
      <c r="I149" s="84">
        <v>5</v>
      </c>
      <c r="J149" s="85">
        <f t="shared" si="48"/>
        <v>5</v>
      </c>
      <c r="K149" s="85">
        <v>1</v>
      </c>
      <c r="L149" s="94">
        <f t="shared" si="49"/>
        <v>5</v>
      </c>
      <c r="M149" s="86" t="s">
        <v>580</v>
      </c>
      <c r="N149" s="87" t="s">
        <v>673</v>
      </c>
      <c r="O149" s="93" t="s">
        <v>677</v>
      </c>
      <c r="P149" s="82"/>
      <c r="Q149" s="82" t="s">
        <v>679</v>
      </c>
      <c r="R149" s="93"/>
    </row>
    <row r="150" spans="1:18" s="89" customFormat="1" ht="128.25">
      <c r="A150" s="95"/>
      <c r="B150" s="96"/>
      <c r="C150" s="97"/>
      <c r="D150" s="83" t="s">
        <v>31</v>
      </c>
      <c r="E150" s="83" t="s">
        <v>581</v>
      </c>
      <c r="F150" s="97" t="str">
        <f t="shared" si="50"/>
        <v/>
      </c>
      <c r="G150" s="84">
        <v>5</v>
      </c>
      <c r="H150" s="84">
        <v>5</v>
      </c>
      <c r="I150" s="84">
        <v>1</v>
      </c>
      <c r="J150" s="85">
        <f t="shared" si="48"/>
        <v>5</v>
      </c>
      <c r="K150" s="85">
        <v>1</v>
      </c>
      <c r="L150" s="94">
        <f t="shared" si="49"/>
        <v>5</v>
      </c>
      <c r="M150" s="86" t="s">
        <v>582</v>
      </c>
      <c r="N150" s="87" t="s">
        <v>673</v>
      </c>
      <c r="O150" s="87" t="s">
        <v>684</v>
      </c>
      <c r="P150" s="82"/>
      <c r="Q150" s="82" t="s">
        <v>679</v>
      </c>
      <c r="R150" s="87"/>
    </row>
    <row r="151" spans="1:18" s="89" customFormat="1" ht="102" customHeight="1">
      <c r="A151" s="80">
        <v>20</v>
      </c>
      <c r="B151" s="120" t="s">
        <v>852</v>
      </c>
      <c r="C151" s="82" t="s">
        <v>744</v>
      </c>
      <c r="D151" s="83" t="s">
        <v>112</v>
      </c>
      <c r="E151" s="83" t="s">
        <v>569</v>
      </c>
      <c r="F151" s="82" t="s">
        <v>744</v>
      </c>
      <c r="G151" s="84">
        <v>5</v>
      </c>
      <c r="H151" s="84">
        <v>5</v>
      </c>
      <c r="I151" s="84">
        <v>5</v>
      </c>
      <c r="J151" s="85">
        <f>IF(MAX(G151:I151)=0,"",MAX(G151:I151))</f>
        <v>5</v>
      </c>
      <c r="K151" s="85">
        <v>1</v>
      </c>
      <c r="L151" s="84">
        <f>IFERROR(J151*K151,"")</f>
        <v>5</v>
      </c>
      <c r="M151" s="86" t="s">
        <v>818</v>
      </c>
      <c r="N151" s="87" t="s">
        <v>673</v>
      </c>
      <c r="O151" s="87" t="s">
        <v>665</v>
      </c>
      <c r="P151" s="82" t="s">
        <v>748</v>
      </c>
      <c r="Q151" s="82" t="s">
        <v>681</v>
      </c>
      <c r="R151" s="88"/>
    </row>
    <row r="152" spans="1:18" s="89" customFormat="1" ht="42.75">
      <c r="A152" s="90"/>
      <c r="B152" s="91"/>
      <c r="C152" s="92"/>
      <c r="D152" s="83" t="s">
        <v>11</v>
      </c>
      <c r="E152" s="83" t="s">
        <v>67</v>
      </c>
      <c r="F152" s="92" t="str">
        <f>IF($C152&lt;&gt;"",C152,"")</f>
        <v/>
      </c>
      <c r="G152" s="84">
        <v>1</v>
      </c>
      <c r="H152" s="84">
        <v>1</v>
      </c>
      <c r="I152" s="84">
        <v>5</v>
      </c>
      <c r="J152" s="85">
        <f t="shared" ref="J152:J154" si="51">IF(MAX(G152:I152)=0,"",MAX(G152:I152))</f>
        <v>5</v>
      </c>
      <c r="K152" s="85">
        <v>1</v>
      </c>
      <c r="L152" s="84">
        <f t="shared" ref="L152:L154" si="52">IFERROR(J152*K152,"")</f>
        <v>5</v>
      </c>
      <c r="M152" s="86" t="s">
        <v>786</v>
      </c>
      <c r="N152" s="87" t="s">
        <v>673</v>
      </c>
      <c r="O152" s="87" t="s">
        <v>672</v>
      </c>
      <c r="P152" s="82"/>
      <c r="Q152" s="82" t="s">
        <v>679</v>
      </c>
      <c r="R152" s="93"/>
    </row>
    <row r="153" spans="1:18" s="89" customFormat="1" ht="72.75" customHeight="1">
      <c r="A153" s="90"/>
      <c r="B153" s="91"/>
      <c r="C153" s="92"/>
      <c r="D153" s="83" t="s">
        <v>38</v>
      </c>
      <c r="E153" s="83" t="s">
        <v>68</v>
      </c>
      <c r="F153" s="92" t="str">
        <f t="shared" ref="F153:F154" si="53">IF($C153&lt;&gt;"",C153,"")</f>
        <v/>
      </c>
      <c r="G153" s="84">
        <v>5</v>
      </c>
      <c r="H153" s="84">
        <v>1</v>
      </c>
      <c r="I153" s="84">
        <v>1</v>
      </c>
      <c r="J153" s="85">
        <f t="shared" si="51"/>
        <v>5</v>
      </c>
      <c r="K153" s="85">
        <v>1</v>
      </c>
      <c r="L153" s="94">
        <f t="shared" si="52"/>
        <v>5</v>
      </c>
      <c r="M153" s="86" t="s">
        <v>826</v>
      </c>
      <c r="N153" s="87" t="s">
        <v>673</v>
      </c>
      <c r="O153" s="87" t="s">
        <v>682</v>
      </c>
      <c r="P153" s="82"/>
      <c r="Q153" s="82" t="s">
        <v>679</v>
      </c>
      <c r="R153" s="87"/>
    </row>
    <row r="154" spans="1:18" s="89" customFormat="1" ht="80.25" customHeight="1">
      <c r="A154" s="90"/>
      <c r="B154" s="91"/>
      <c r="C154" s="92"/>
      <c r="D154" s="83" t="s">
        <v>38</v>
      </c>
      <c r="E154" s="83" t="s">
        <v>72</v>
      </c>
      <c r="F154" s="92" t="str">
        <f t="shared" si="53"/>
        <v/>
      </c>
      <c r="G154" s="84">
        <v>5</v>
      </c>
      <c r="H154" s="84">
        <v>5</v>
      </c>
      <c r="I154" s="84">
        <v>5</v>
      </c>
      <c r="J154" s="85">
        <f t="shared" si="51"/>
        <v>5</v>
      </c>
      <c r="K154" s="85">
        <v>1</v>
      </c>
      <c r="L154" s="94">
        <f t="shared" si="52"/>
        <v>5</v>
      </c>
      <c r="M154" s="86" t="s">
        <v>577</v>
      </c>
      <c r="N154" s="87" t="s">
        <v>673</v>
      </c>
      <c r="O154" s="87" t="s">
        <v>683</v>
      </c>
      <c r="P154" s="82"/>
      <c r="Q154" s="82" t="s">
        <v>679</v>
      </c>
      <c r="R154" s="87"/>
    </row>
    <row r="155" spans="1:18" s="89" customFormat="1" ht="179.25" customHeight="1">
      <c r="A155" s="80">
        <v>21</v>
      </c>
      <c r="B155" s="120" t="s">
        <v>853</v>
      </c>
      <c r="C155" s="82" t="s">
        <v>744</v>
      </c>
      <c r="D155" s="83" t="s">
        <v>112</v>
      </c>
      <c r="E155" s="83" t="s">
        <v>790</v>
      </c>
      <c r="F155" s="82" t="s">
        <v>744</v>
      </c>
      <c r="G155" s="84">
        <v>5</v>
      </c>
      <c r="H155" s="84">
        <v>5</v>
      </c>
      <c r="I155" s="84">
        <v>5</v>
      </c>
      <c r="J155" s="85">
        <f>IF(MAX(G155:I155)=0,"",MAX(G155:I155))</f>
        <v>5</v>
      </c>
      <c r="K155" s="85">
        <v>1</v>
      </c>
      <c r="L155" s="84">
        <f>IFERROR(J155*K155,"")</f>
        <v>5</v>
      </c>
      <c r="M155" s="86" t="s">
        <v>783</v>
      </c>
      <c r="N155" s="87" t="s">
        <v>673</v>
      </c>
      <c r="O155" s="87" t="s">
        <v>685</v>
      </c>
      <c r="P155" s="82" t="s">
        <v>748</v>
      </c>
      <c r="Q155" s="82" t="s">
        <v>679</v>
      </c>
      <c r="R155" s="87"/>
    </row>
    <row r="156" spans="1:18" s="89" customFormat="1" ht="71.25">
      <c r="A156" s="90"/>
      <c r="B156" s="91"/>
      <c r="C156" s="92"/>
      <c r="D156" s="83" t="s">
        <v>38</v>
      </c>
      <c r="E156" s="83" t="s">
        <v>72</v>
      </c>
      <c r="F156" s="92" t="str">
        <f t="shared" ref="F156" si="54">IF($C156&lt;&gt;"",C156,"")</f>
        <v/>
      </c>
      <c r="G156" s="84">
        <v>5</v>
      </c>
      <c r="H156" s="84">
        <v>5</v>
      </c>
      <c r="I156" s="84">
        <v>5</v>
      </c>
      <c r="J156" s="85">
        <f t="shared" ref="J156:J157" si="55">IF(MAX(G156:I156)=0,"",MAX(G156:I156))</f>
        <v>5</v>
      </c>
      <c r="K156" s="85">
        <v>1</v>
      </c>
      <c r="L156" s="94">
        <f t="shared" ref="L156:L157" si="56">IFERROR(J156*K156,"")</f>
        <v>5</v>
      </c>
      <c r="M156" s="86" t="s">
        <v>577</v>
      </c>
      <c r="N156" s="87" t="s">
        <v>673</v>
      </c>
      <c r="O156" s="87" t="s">
        <v>682</v>
      </c>
      <c r="P156" s="82"/>
      <c r="Q156" s="82" t="s">
        <v>679</v>
      </c>
      <c r="R156" s="87"/>
    </row>
    <row r="157" spans="1:18" s="89" customFormat="1" ht="85.5">
      <c r="A157" s="90"/>
      <c r="B157" s="91"/>
      <c r="C157" s="92"/>
      <c r="D157" s="82" t="s">
        <v>11</v>
      </c>
      <c r="E157" s="82" t="s">
        <v>67</v>
      </c>
      <c r="F157" s="92"/>
      <c r="G157" s="80">
        <v>1</v>
      </c>
      <c r="H157" s="80">
        <v>1</v>
      </c>
      <c r="I157" s="80">
        <v>5</v>
      </c>
      <c r="J157" s="98">
        <f t="shared" si="55"/>
        <v>5</v>
      </c>
      <c r="K157" s="98">
        <v>1</v>
      </c>
      <c r="L157" s="99">
        <f t="shared" si="56"/>
        <v>5</v>
      </c>
      <c r="M157" s="100" t="s">
        <v>594</v>
      </c>
      <c r="N157" s="101" t="s">
        <v>673</v>
      </c>
      <c r="O157" s="101" t="s">
        <v>672</v>
      </c>
      <c r="P157" s="82"/>
      <c r="Q157" s="82" t="s">
        <v>679</v>
      </c>
      <c r="R157" s="101"/>
    </row>
    <row r="158" spans="1:18" s="89" customFormat="1" ht="179.25" customHeight="1">
      <c r="A158" s="80">
        <v>24</v>
      </c>
      <c r="B158" s="81" t="s">
        <v>829</v>
      </c>
      <c r="C158" s="82" t="s">
        <v>744</v>
      </c>
      <c r="D158" s="83" t="s">
        <v>112</v>
      </c>
      <c r="E158" s="83" t="s">
        <v>790</v>
      </c>
      <c r="F158" s="82" t="s">
        <v>744</v>
      </c>
      <c r="G158" s="84">
        <v>5</v>
      </c>
      <c r="H158" s="84">
        <v>5</v>
      </c>
      <c r="I158" s="84">
        <v>5</v>
      </c>
      <c r="J158" s="85">
        <f>IF(MAX(G158:I158)=0,"",MAX(G158:I158))</f>
        <v>5</v>
      </c>
      <c r="K158" s="85">
        <v>1</v>
      </c>
      <c r="L158" s="84">
        <f>IFERROR(J158*K158,"")</f>
        <v>5</v>
      </c>
      <c r="M158" s="86" t="s">
        <v>783</v>
      </c>
      <c r="N158" s="87" t="s">
        <v>673</v>
      </c>
      <c r="O158" s="87" t="s">
        <v>685</v>
      </c>
      <c r="P158" s="82" t="s">
        <v>748</v>
      </c>
      <c r="Q158" s="82" t="s">
        <v>679</v>
      </c>
      <c r="R158" s="87"/>
    </row>
    <row r="159" spans="1:18" s="89" customFormat="1" ht="42.75">
      <c r="A159" s="90"/>
      <c r="B159" s="91"/>
      <c r="C159" s="92"/>
      <c r="D159" s="83" t="s">
        <v>36</v>
      </c>
      <c r="E159" s="82" t="s">
        <v>67</v>
      </c>
      <c r="F159" s="92" t="str">
        <f t="shared" ref="F159" si="57">IF($C159&lt;&gt;"",C159,"")</f>
        <v/>
      </c>
      <c r="G159" s="84">
        <v>5</v>
      </c>
      <c r="H159" s="84">
        <v>5</v>
      </c>
      <c r="I159" s="84">
        <v>5</v>
      </c>
      <c r="J159" s="85">
        <f t="shared" ref="J159:J160" si="58">IF(MAX(G159:I159)=0,"",MAX(G159:I159))</f>
        <v>5</v>
      </c>
      <c r="K159" s="85">
        <v>1</v>
      </c>
      <c r="L159" s="94">
        <f t="shared" ref="L159:L160" si="59">IFERROR(J159*K159,"")</f>
        <v>5</v>
      </c>
      <c r="M159" s="100" t="s">
        <v>819</v>
      </c>
      <c r="N159" s="87" t="s">
        <v>673</v>
      </c>
      <c r="O159" s="87" t="s">
        <v>682</v>
      </c>
      <c r="P159" s="82"/>
      <c r="Q159" s="82" t="s">
        <v>679</v>
      </c>
      <c r="R159" s="87"/>
    </row>
    <row r="160" spans="1:18" s="89" customFormat="1" ht="42.75">
      <c r="A160" s="90"/>
      <c r="B160" s="91"/>
      <c r="C160" s="92"/>
      <c r="D160" s="82" t="s">
        <v>11</v>
      </c>
      <c r="E160" s="82" t="s">
        <v>67</v>
      </c>
      <c r="F160" s="92"/>
      <c r="G160" s="80">
        <v>1</v>
      </c>
      <c r="H160" s="80">
        <v>1</v>
      </c>
      <c r="I160" s="80">
        <v>5</v>
      </c>
      <c r="J160" s="98">
        <f t="shared" si="58"/>
        <v>5</v>
      </c>
      <c r="K160" s="98">
        <v>1</v>
      </c>
      <c r="L160" s="99">
        <f t="shared" si="59"/>
        <v>5</v>
      </c>
      <c r="M160" s="100" t="s">
        <v>819</v>
      </c>
      <c r="N160" s="101" t="s">
        <v>673</v>
      </c>
      <c r="O160" s="101" t="s">
        <v>672</v>
      </c>
      <c r="P160" s="82"/>
      <c r="Q160" s="82" t="s">
        <v>679</v>
      </c>
      <c r="R160" s="101"/>
    </row>
    <row r="161" spans="1:18" s="89" customFormat="1" ht="179.25" customHeight="1">
      <c r="A161" s="80">
        <v>25</v>
      </c>
      <c r="B161" s="81" t="s">
        <v>750</v>
      </c>
      <c r="C161" s="82" t="s">
        <v>744</v>
      </c>
      <c r="D161" s="83" t="s">
        <v>112</v>
      </c>
      <c r="E161" s="83" t="s">
        <v>790</v>
      </c>
      <c r="F161" s="82" t="s">
        <v>744</v>
      </c>
      <c r="G161" s="84">
        <v>2</v>
      </c>
      <c r="H161" s="84">
        <v>2</v>
      </c>
      <c r="I161" s="84">
        <v>2</v>
      </c>
      <c r="J161" s="85">
        <f>IF(MAX(G161:I161)=0,"",MAX(G161:I161))</f>
        <v>2</v>
      </c>
      <c r="K161" s="85">
        <v>1</v>
      </c>
      <c r="L161" s="84">
        <f>IFERROR(J161*K161,"")</f>
        <v>2</v>
      </c>
      <c r="M161" s="86" t="s">
        <v>783</v>
      </c>
      <c r="N161" s="87" t="s">
        <v>673</v>
      </c>
      <c r="O161" s="87" t="s">
        <v>685</v>
      </c>
      <c r="P161" s="82" t="s">
        <v>748</v>
      </c>
      <c r="Q161" s="82" t="s">
        <v>679</v>
      </c>
      <c r="R161" s="87"/>
    </row>
    <row r="162" spans="1:18" s="89" customFormat="1" ht="42.75">
      <c r="A162" s="90"/>
      <c r="B162" s="91"/>
      <c r="C162" s="92"/>
      <c r="D162" s="83" t="s">
        <v>36</v>
      </c>
      <c r="E162" s="82" t="s">
        <v>67</v>
      </c>
      <c r="F162" s="92" t="str">
        <f t="shared" ref="F162" si="60">IF($C162&lt;&gt;"",C162,"")</f>
        <v/>
      </c>
      <c r="G162" s="84">
        <v>2</v>
      </c>
      <c r="H162" s="84">
        <v>2</v>
      </c>
      <c r="I162" s="84">
        <v>2</v>
      </c>
      <c r="J162" s="85">
        <f t="shared" ref="J162" si="61">IF(MAX(G162:I162)=0,"",MAX(G162:I162))</f>
        <v>2</v>
      </c>
      <c r="K162" s="85">
        <v>1</v>
      </c>
      <c r="L162" s="94">
        <f t="shared" ref="L162:L163" si="62">IFERROR(J162*K162,"")</f>
        <v>2</v>
      </c>
      <c r="M162" s="100" t="s">
        <v>819</v>
      </c>
      <c r="N162" s="87" t="s">
        <v>673</v>
      </c>
      <c r="O162" s="87" t="s">
        <v>682</v>
      </c>
      <c r="P162" s="82"/>
      <c r="Q162" s="82" t="s">
        <v>679</v>
      </c>
      <c r="R162" s="87"/>
    </row>
    <row r="163" spans="1:18" s="89" customFormat="1" ht="42.75">
      <c r="A163" s="90"/>
      <c r="B163" s="91"/>
      <c r="C163" s="92"/>
      <c r="D163" s="82" t="s">
        <v>11</v>
      </c>
      <c r="E163" s="82" t="s">
        <v>67</v>
      </c>
      <c r="F163" s="92"/>
      <c r="G163" s="80">
        <v>1</v>
      </c>
      <c r="H163" s="80">
        <v>1</v>
      </c>
      <c r="I163" s="80">
        <v>2</v>
      </c>
      <c r="J163" s="98">
        <v>2</v>
      </c>
      <c r="K163" s="98">
        <v>1</v>
      </c>
      <c r="L163" s="99">
        <f t="shared" si="62"/>
        <v>2</v>
      </c>
      <c r="M163" s="100" t="s">
        <v>819</v>
      </c>
      <c r="N163" s="101" t="s">
        <v>673</v>
      </c>
      <c r="O163" s="101" t="s">
        <v>672</v>
      </c>
      <c r="P163" s="82"/>
      <c r="Q163" s="82" t="s">
        <v>679</v>
      </c>
      <c r="R163" s="101"/>
    </row>
    <row r="164" spans="1:18" s="89" customFormat="1" ht="179.25" customHeight="1">
      <c r="A164" s="80">
        <v>26</v>
      </c>
      <c r="B164" s="81" t="s">
        <v>758</v>
      </c>
      <c r="C164" s="82" t="s">
        <v>744</v>
      </c>
      <c r="D164" s="83" t="s">
        <v>112</v>
      </c>
      <c r="E164" s="83" t="s">
        <v>790</v>
      </c>
      <c r="F164" s="82" t="s">
        <v>744</v>
      </c>
      <c r="G164" s="84">
        <v>2</v>
      </c>
      <c r="H164" s="84">
        <v>2</v>
      </c>
      <c r="I164" s="84">
        <v>2</v>
      </c>
      <c r="J164" s="85">
        <f>IF(MAX(G164:I164)=0,"",MAX(G164:I164))</f>
        <v>2</v>
      </c>
      <c r="K164" s="85">
        <v>1</v>
      </c>
      <c r="L164" s="84">
        <f>IFERROR(J164*K164,"")</f>
        <v>2</v>
      </c>
      <c r="M164" s="86" t="s">
        <v>783</v>
      </c>
      <c r="N164" s="87" t="s">
        <v>673</v>
      </c>
      <c r="O164" s="87" t="s">
        <v>685</v>
      </c>
      <c r="P164" s="82" t="s">
        <v>748</v>
      </c>
      <c r="Q164" s="82" t="s">
        <v>679</v>
      </c>
      <c r="R164" s="87"/>
    </row>
    <row r="165" spans="1:18" s="89" customFormat="1" ht="42.75">
      <c r="A165" s="90"/>
      <c r="B165" s="91"/>
      <c r="C165" s="92"/>
      <c r="D165" s="83" t="s">
        <v>36</v>
      </c>
      <c r="E165" s="82" t="s">
        <v>67</v>
      </c>
      <c r="F165" s="92" t="str">
        <f t="shared" ref="F165" si="63">IF($C165&lt;&gt;"",C165,"")</f>
        <v/>
      </c>
      <c r="G165" s="84">
        <v>2</v>
      </c>
      <c r="H165" s="84">
        <v>2</v>
      </c>
      <c r="I165" s="84">
        <v>2</v>
      </c>
      <c r="J165" s="85">
        <f t="shared" ref="J165" si="64">IF(MAX(G165:I165)=0,"",MAX(G165:I165))</f>
        <v>2</v>
      </c>
      <c r="K165" s="85">
        <v>1</v>
      </c>
      <c r="L165" s="94">
        <f t="shared" ref="L165:L166" si="65">IFERROR(J165*K165,"")</f>
        <v>2</v>
      </c>
      <c r="M165" s="100" t="s">
        <v>819</v>
      </c>
      <c r="N165" s="87" t="s">
        <v>673</v>
      </c>
      <c r="O165" s="87" t="s">
        <v>682</v>
      </c>
      <c r="P165" s="82"/>
      <c r="Q165" s="82" t="s">
        <v>679</v>
      </c>
      <c r="R165" s="87"/>
    </row>
    <row r="166" spans="1:18" s="89" customFormat="1" ht="42.75">
      <c r="A166" s="90"/>
      <c r="B166" s="91"/>
      <c r="C166" s="92"/>
      <c r="D166" s="82" t="s">
        <v>11</v>
      </c>
      <c r="E166" s="82" t="s">
        <v>67</v>
      </c>
      <c r="F166" s="92"/>
      <c r="G166" s="80">
        <v>1</v>
      </c>
      <c r="H166" s="80">
        <v>1</v>
      </c>
      <c r="I166" s="80">
        <v>2</v>
      </c>
      <c r="J166" s="98">
        <v>2</v>
      </c>
      <c r="K166" s="98">
        <v>1</v>
      </c>
      <c r="L166" s="99">
        <f t="shared" si="65"/>
        <v>2</v>
      </c>
      <c r="M166" s="100" t="s">
        <v>819</v>
      </c>
      <c r="N166" s="101" t="s">
        <v>673</v>
      </c>
      <c r="O166" s="101" t="s">
        <v>672</v>
      </c>
      <c r="P166" s="82"/>
      <c r="Q166" s="82" t="s">
        <v>679</v>
      </c>
      <c r="R166" s="101"/>
    </row>
    <row r="167" spans="1:18" s="89" customFormat="1" ht="179.25" customHeight="1">
      <c r="A167" s="80">
        <v>27</v>
      </c>
      <c r="B167" s="81" t="s">
        <v>759</v>
      </c>
      <c r="C167" s="82" t="s">
        <v>744</v>
      </c>
      <c r="D167" s="83" t="s">
        <v>112</v>
      </c>
      <c r="E167" s="83" t="s">
        <v>790</v>
      </c>
      <c r="F167" s="82" t="s">
        <v>744</v>
      </c>
      <c r="G167" s="84">
        <v>2</v>
      </c>
      <c r="H167" s="84">
        <v>2</v>
      </c>
      <c r="I167" s="84">
        <v>2</v>
      </c>
      <c r="J167" s="85">
        <f>IF(MAX(G167:I167)=0,"",MAX(G167:I167))</f>
        <v>2</v>
      </c>
      <c r="K167" s="85">
        <v>1</v>
      </c>
      <c r="L167" s="84">
        <f>IFERROR(J167*K167,"")</f>
        <v>2</v>
      </c>
      <c r="M167" s="86" t="s">
        <v>783</v>
      </c>
      <c r="N167" s="87" t="s">
        <v>673</v>
      </c>
      <c r="O167" s="87" t="s">
        <v>685</v>
      </c>
      <c r="P167" s="82" t="s">
        <v>748</v>
      </c>
      <c r="Q167" s="82" t="s">
        <v>679</v>
      </c>
      <c r="R167" s="87"/>
    </row>
    <row r="168" spans="1:18" s="89" customFormat="1" ht="42.75">
      <c r="A168" s="90"/>
      <c r="B168" s="91"/>
      <c r="C168" s="92"/>
      <c r="D168" s="83" t="s">
        <v>36</v>
      </c>
      <c r="E168" s="82" t="s">
        <v>67</v>
      </c>
      <c r="F168" s="92" t="str">
        <f t="shared" ref="F168" si="66">IF($C168&lt;&gt;"",C168,"")</f>
        <v/>
      </c>
      <c r="G168" s="84">
        <v>2</v>
      </c>
      <c r="H168" s="84">
        <v>2</v>
      </c>
      <c r="I168" s="84">
        <v>2</v>
      </c>
      <c r="J168" s="85">
        <f t="shared" ref="J168" si="67">IF(MAX(G168:I168)=0,"",MAX(G168:I168))</f>
        <v>2</v>
      </c>
      <c r="K168" s="85">
        <v>1</v>
      </c>
      <c r="L168" s="94">
        <f t="shared" ref="L168:L169" si="68">IFERROR(J168*K168,"")</f>
        <v>2</v>
      </c>
      <c r="M168" s="100" t="s">
        <v>819</v>
      </c>
      <c r="N168" s="87" t="s">
        <v>673</v>
      </c>
      <c r="O168" s="87" t="s">
        <v>682</v>
      </c>
      <c r="P168" s="82"/>
      <c r="Q168" s="82" t="s">
        <v>679</v>
      </c>
      <c r="R168" s="87"/>
    </row>
    <row r="169" spans="1:18" s="89" customFormat="1" ht="42.75">
      <c r="A169" s="90"/>
      <c r="B169" s="91"/>
      <c r="C169" s="92"/>
      <c r="D169" s="82" t="s">
        <v>11</v>
      </c>
      <c r="E169" s="82" t="s">
        <v>67</v>
      </c>
      <c r="F169" s="92"/>
      <c r="G169" s="80">
        <v>1</v>
      </c>
      <c r="H169" s="80">
        <v>1</v>
      </c>
      <c r="I169" s="80">
        <v>2</v>
      </c>
      <c r="J169" s="98">
        <v>2</v>
      </c>
      <c r="K169" s="98">
        <v>1</v>
      </c>
      <c r="L169" s="99">
        <f t="shared" si="68"/>
        <v>2</v>
      </c>
      <c r="M169" s="100" t="s">
        <v>819</v>
      </c>
      <c r="N169" s="101" t="s">
        <v>673</v>
      </c>
      <c r="O169" s="101" t="s">
        <v>672</v>
      </c>
      <c r="P169" s="82"/>
      <c r="Q169" s="82" t="s">
        <v>679</v>
      </c>
      <c r="R169" s="101"/>
    </row>
    <row r="170" spans="1:18" s="89" customFormat="1" ht="94.5" customHeight="1">
      <c r="A170" s="80">
        <v>30</v>
      </c>
      <c r="B170" s="81" t="s">
        <v>839</v>
      </c>
      <c r="C170" s="82" t="s">
        <v>845</v>
      </c>
      <c r="D170" s="83" t="s">
        <v>11</v>
      </c>
      <c r="E170" s="83" t="s">
        <v>67</v>
      </c>
      <c r="F170" s="82" t="s">
        <v>841</v>
      </c>
      <c r="G170" s="84">
        <v>5</v>
      </c>
      <c r="H170" s="84">
        <v>5</v>
      </c>
      <c r="I170" s="84">
        <v>5</v>
      </c>
      <c r="J170" s="85">
        <f>IF(MAX(G170:I170)=0,"",MAX(G170:I170))</f>
        <v>5</v>
      </c>
      <c r="K170" s="85">
        <v>1</v>
      </c>
      <c r="L170" s="84">
        <f>IFERROR(J170*K170,"")</f>
        <v>5</v>
      </c>
      <c r="M170" s="86" t="s">
        <v>726</v>
      </c>
      <c r="N170" s="87" t="s">
        <v>673</v>
      </c>
      <c r="O170" s="87" t="s">
        <v>677</v>
      </c>
      <c r="P170" s="82"/>
      <c r="Q170" s="82" t="s">
        <v>679</v>
      </c>
      <c r="R170" s="93"/>
    </row>
    <row r="171" spans="1:18" s="89" customFormat="1" ht="57">
      <c r="A171" s="90"/>
      <c r="B171" s="91"/>
      <c r="C171" s="92"/>
      <c r="D171" s="83" t="s">
        <v>49</v>
      </c>
      <c r="E171" s="83" t="s">
        <v>73</v>
      </c>
      <c r="F171" s="92" t="str">
        <f>IF($C171&lt;&gt;"",C171,"")</f>
        <v/>
      </c>
      <c r="G171" s="84">
        <v>5</v>
      </c>
      <c r="H171" s="84">
        <v>1</v>
      </c>
      <c r="I171" s="84">
        <v>1</v>
      </c>
      <c r="J171" s="85">
        <f t="shared" ref="J171:J173" si="69">IF(MAX(G171:I171)=0,"",MAX(G171:I171))</f>
        <v>5</v>
      </c>
      <c r="K171" s="85">
        <v>1</v>
      </c>
      <c r="L171" s="84">
        <f t="shared" ref="L171:L173" si="70">IFERROR(J171*K171,"")</f>
        <v>5</v>
      </c>
      <c r="M171" s="86" t="s">
        <v>728</v>
      </c>
      <c r="N171" s="87" t="s">
        <v>673</v>
      </c>
      <c r="O171" s="87" t="s">
        <v>682</v>
      </c>
      <c r="P171" s="82"/>
      <c r="Q171" s="82" t="s">
        <v>679</v>
      </c>
      <c r="R171" s="93"/>
    </row>
    <row r="172" spans="1:18" s="89" customFormat="1" ht="85.5">
      <c r="A172" s="90"/>
      <c r="B172" s="91"/>
      <c r="C172" s="92"/>
      <c r="D172" s="83" t="s">
        <v>112</v>
      </c>
      <c r="E172" s="83" t="s">
        <v>75</v>
      </c>
      <c r="F172" s="92" t="str">
        <f t="shared" ref="F172:F173" si="71">IF($C172&lt;&gt;"",C172,"")</f>
        <v/>
      </c>
      <c r="G172" s="84">
        <v>5</v>
      </c>
      <c r="H172" s="84">
        <v>5</v>
      </c>
      <c r="I172" s="84">
        <v>5</v>
      </c>
      <c r="J172" s="85">
        <f t="shared" si="69"/>
        <v>5</v>
      </c>
      <c r="K172" s="85">
        <v>1</v>
      </c>
      <c r="L172" s="94">
        <f t="shared" si="70"/>
        <v>5</v>
      </c>
      <c r="M172" s="86" t="s">
        <v>729</v>
      </c>
      <c r="N172" s="87" t="s">
        <v>673</v>
      </c>
      <c r="O172" s="87" t="s">
        <v>682</v>
      </c>
      <c r="P172" s="82"/>
      <c r="Q172" s="82" t="s">
        <v>679</v>
      </c>
      <c r="R172" s="93"/>
    </row>
    <row r="173" spans="1:18" s="89" customFormat="1" ht="85.5">
      <c r="A173" s="95"/>
      <c r="B173" s="96"/>
      <c r="C173" s="97"/>
      <c r="D173" s="83" t="s">
        <v>36</v>
      </c>
      <c r="E173" s="83" t="s">
        <v>72</v>
      </c>
      <c r="F173" s="97" t="str">
        <f t="shared" si="71"/>
        <v/>
      </c>
      <c r="G173" s="84">
        <v>5</v>
      </c>
      <c r="H173" s="84">
        <v>3</v>
      </c>
      <c r="I173" s="84">
        <v>1</v>
      </c>
      <c r="J173" s="85">
        <f t="shared" si="69"/>
        <v>5</v>
      </c>
      <c r="K173" s="85">
        <v>1</v>
      </c>
      <c r="L173" s="94">
        <f t="shared" si="70"/>
        <v>5</v>
      </c>
      <c r="M173" s="86" t="s">
        <v>823</v>
      </c>
      <c r="N173" s="87" t="s">
        <v>673</v>
      </c>
      <c r="O173" s="87" t="s">
        <v>677</v>
      </c>
      <c r="P173" s="83"/>
      <c r="Q173" s="83" t="s">
        <v>679</v>
      </c>
      <c r="R173" s="93"/>
    </row>
  </sheetData>
  <dataConsolidate/>
  <mergeCells count="2">
    <mergeCell ref="A1:M1"/>
    <mergeCell ref="N1:R1"/>
  </mergeCells>
  <conditionalFormatting sqref="L3:L51 L68:L173">
    <cfRule type="cellIs" dxfId="42" priority="26" operator="greaterThanOrEqual">
      <formula>15</formula>
    </cfRule>
    <cfRule type="cellIs" dxfId="41" priority="27" operator="between">
      <formula>5</formula>
      <formula>14</formula>
    </cfRule>
    <cfRule type="cellIs" dxfId="40" priority="28" operator="lessThanOrEqual">
      <formula>4</formula>
    </cfRule>
  </conditionalFormatting>
  <conditionalFormatting sqref="L52:L55">
    <cfRule type="cellIs" dxfId="39" priority="16" operator="greaterThanOrEqual">
      <formula>15</formula>
    </cfRule>
    <cfRule type="cellIs" dxfId="38" priority="17" operator="between">
      <formula>5</formula>
      <formula>14</formula>
    </cfRule>
    <cfRule type="cellIs" dxfId="37" priority="18" operator="lessThanOrEqual">
      <formula>4</formula>
    </cfRule>
  </conditionalFormatting>
  <conditionalFormatting sqref="L56:L63">
    <cfRule type="cellIs" dxfId="36" priority="10" operator="greaterThanOrEqual">
      <formula>15</formula>
    </cfRule>
    <cfRule type="cellIs" dxfId="35" priority="11" operator="between">
      <formula>5</formula>
      <formula>14</formula>
    </cfRule>
    <cfRule type="cellIs" dxfId="34" priority="12" operator="lessThanOrEqual">
      <formula>4</formula>
    </cfRule>
  </conditionalFormatting>
  <conditionalFormatting sqref="L64:L67">
    <cfRule type="cellIs" dxfId="33" priority="7" operator="greaterThanOrEqual">
      <formula>15</formula>
    </cfRule>
    <cfRule type="cellIs" dxfId="32" priority="8" operator="between">
      <formula>5</formula>
      <formula>14</formula>
    </cfRule>
    <cfRule type="cellIs" dxfId="31" priority="9" operator="lessThanOrEqual">
      <formula>4</formula>
    </cfRule>
  </conditionalFormatting>
  <dataValidations count="12">
    <dataValidation type="list" allowBlank="1" showInputMessage="1" showErrorMessage="1" sqref="K3:K173">
      <formula1>LikelihoodRating</formula1>
    </dataValidation>
    <dataValidation type="list" errorStyle="information" allowBlank="1" showInputMessage="1" showErrorMessage="1" sqref="Q3:Q173">
      <formula1>RTPstatus</formula1>
    </dataValidation>
    <dataValidation type="list" allowBlank="1" showInputMessage="1" showErrorMessage="1" sqref="N3:N173">
      <formula1>RTPoptions</formula1>
    </dataValidation>
    <dataValidation type="list" allowBlank="1" showInputMessage="1" showErrorMessage="1" sqref="H3:H173">
      <formula1>RatingIntegrity</formula1>
    </dataValidation>
    <dataValidation type="list" errorStyle="information" allowBlank="1" showInputMessage="1" showErrorMessage="1" sqref="I3:I173">
      <formula1>RatingAvailability</formula1>
    </dataValidation>
    <dataValidation type="list" errorStyle="information" allowBlank="1" showInputMessage="1" showErrorMessage="1" sqref="G3:G173">
      <formula1>RatingConfidentiality</formula1>
    </dataValidation>
    <dataValidation type="list" allowBlank="1" showInputMessage="1" showErrorMessage="1" sqref="B3:B173">
      <formula1>AssetsList</formula1>
    </dataValidation>
    <dataValidation type="list" errorStyle="information" allowBlank="1" showInputMessage="1" showErrorMessage="1" sqref="F3:F173 P3:P173 C3:C173">
      <formula1>RiskOwners</formula1>
    </dataValidation>
    <dataValidation type="list" allowBlank="1" showInputMessage="1" showErrorMessage="1" sqref="D3:D173">
      <formula1>ThreatsList</formula1>
    </dataValidation>
    <dataValidation allowBlank="1" showInputMessage="1" showErrorMessage="1" errorTitle="Wrong value!" error="Values 0, 1 or 2 are allowed" sqref="J3:J173"/>
    <dataValidation type="list" allowBlank="1" showInputMessage="1" showErrorMessage="1" sqref="E3:E173">
      <formula1>VulnerabitiesList</formula1>
    </dataValidation>
    <dataValidation type="list" allowBlank="1" showInputMessage="1" sqref="O3:O173">
      <formula1>DocsList</formula1>
    </dataValidation>
  </dataValidations>
  <printOptions horizontalCentered="1"/>
  <pageMargins left="0.39370078740157483" right="0.39370078740157483" top="1.0236220472440944" bottom="0.62992125984251968" header="0.31496062992125984" footer="0.31496062992125984"/>
  <pageSetup paperSize="9" scale="68" fitToHeight="0" orientation="landscape" r:id="rId1"/>
  <headerFooter>
    <oddHeader>&amp;L&amp;"-,Bold"&amp;12Dodid Pte Ltd&amp;R&amp;"-,Bold"&amp;12Confidential</oddHeader>
    <oddFooter xml:space="preserve">&amp;LRisk Assessment Table
  &amp;RPage &amp;P of &amp;N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D34"/>
  <sheetViews>
    <sheetView showGridLines="0" workbookViewId="0">
      <pane xSplit="4" ySplit="1" topLeftCell="E11" activePane="bottomRight" state="frozenSplit"/>
      <selection pane="topRight" activeCell="E1" sqref="E1"/>
      <selection pane="bottomLeft" activeCell="A2" sqref="A2"/>
      <selection pane="bottomRight" activeCell="A2" sqref="A2:D34"/>
    </sheetView>
  </sheetViews>
  <sheetFormatPr defaultRowHeight="15"/>
  <cols>
    <col min="1" max="1" width="36.85546875" customWidth="1"/>
    <col min="2" max="2" width="51.5703125" customWidth="1"/>
    <col min="3" max="3" width="15.28515625" customWidth="1"/>
    <col min="4" max="4" width="21" style="9" customWidth="1"/>
  </cols>
  <sheetData>
    <row r="1" spans="1:4">
      <c r="A1" s="57" t="s">
        <v>554</v>
      </c>
      <c r="B1" s="57" t="s">
        <v>453</v>
      </c>
      <c r="C1" s="69" t="s">
        <v>658</v>
      </c>
      <c r="D1" s="70" t="s">
        <v>690</v>
      </c>
    </row>
    <row r="2" spans="1:4">
      <c r="A2" s="56" t="s">
        <v>553</v>
      </c>
      <c r="B2" s="56" t="s">
        <v>555</v>
      </c>
      <c r="C2" s="10">
        <f>IFERROR(MATCH(A2,'RA-RTP'!$B$3:$B$1000,0),"no match")</f>
        <v>1</v>
      </c>
      <c r="D2" s="10">
        <f>IFERROR(INDEX('RA-RTP'!$A$3:$A$1000,MATCH(A2,'RA-RTP'!$B$3:$B$1000,0)),"no match")</f>
        <v>1</v>
      </c>
    </row>
    <row r="3" spans="1:4">
      <c r="A3" s="56" t="s">
        <v>647</v>
      </c>
      <c r="B3" s="56" t="s">
        <v>562</v>
      </c>
      <c r="C3" s="10">
        <f>IFERROR(MATCH(A3,'RA-RTP'!$B$3:$B$1000,0),"no match")</f>
        <v>13</v>
      </c>
      <c r="D3" s="10">
        <f>IFERROR(INDEX('RA-RTP'!$A$3:$A$1000,MATCH(A3,'RA-RTP'!$B$3:$B$1000,0)),"no match")</f>
        <v>2</v>
      </c>
    </row>
    <row r="4" spans="1:4">
      <c r="A4" s="56" t="s">
        <v>648</v>
      </c>
      <c r="B4" s="56" t="s">
        <v>563</v>
      </c>
      <c r="C4" s="10">
        <f>IFERROR(MATCH(A4,'RA-RTP'!$B$3:$B$1000,0),"no match")</f>
        <v>24</v>
      </c>
      <c r="D4" s="10">
        <f>IFERROR(INDEX('RA-RTP'!$A$3:$A$1000,MATCH(A4,'RA-RTP'!$B$3:$B$1000,0)),"no match")</f>
        <v>3</v>
      </c>
    </row>
    <row r="5" spans="1:4">
      <c r="A5" s="52" t="s">
        <v>634</v>
      </c>
      <c r="B5" s="56" t="s">
        <v>593</v>
      </c>
      <c r="C5" s="10">
        <f>IFERROR(MATCH(A5,'RA-RTP'!$B$3:$B$1000,0),"no match")</f>
        <v>36</v>
      </c>
      <c r="D5" s="10">
        <f>IFERROR(INDEX('RA-RTP'!$A$3:$A$1000,MATCH(A5,'RA-RTP'!$B$3:$B$1000,0)),"no match")</f>
        <v>4</v>
      </c>
    </row>
    <row r="6" spans="1:4">
      <c r="A6" s="56" t="s">
        <v>228</v>
      </c>
      <c r="B6" s="56" t="s">
        <v>559</v>
      </c>
      <c r="C6" s="10">
        <f>IFERROR(MATCH(A6,'RA-RTP'!$B$3:$B$1000,0),"no match")</f>
        <v>48</v>
      </c>
      <c r="D6" s="10">
        <f>IFERROR(INDEX('RA-RTP'!$A$3:$A$1000,MATCH(A6,'RA-RTP'!$B$3:$B$1000,0)),"no match")</f>
        <v>5</v>
      </c>
    </row>
    <row r="7" spans="1:4">
      <c r="A7" s="56" t="s">
        <v>557</v>
      </c>
      <c r="B7" s="56" t="s">
        <v>558</v>
      </c>
      <c r="C7" s="10">
        <f>IFERROR(MATCH(A7,'RA-RTP'!$B$3:$B$1000,0),"no match")</f>
        <v>60</v>
      </c>
      <c r="D7" s="10">
        <f>IFERROR(INDEX('RA-RTP'!$A$3:$A$1000,MATCH(A7,'RA-RTP'!$B$3:$B$1000,0)),"no match")</f>
        <v>6</v>
      </c>
    </row>
    <row r="8" spans="1:4">
      <c r="A8" s="56" t="s">
        <v>229</v>
      </c>
      <c r="B8" s="56" t="s">
        <v>556</v>
      </c>
      <c r="C8" s="10">
        <f>IFERROR(MATCH(A8,'RA-RTP'!$B$3:$B$1000,0),"no match")</f>
        <v>72</v>
      </c>
      <c r="D8" s="10">
        <f>IFERROR(INDEX('RA-RTP'!$A$3:$A$1000,MATCH(A8,'RA-RTP'!$B$3:$B$1000,0)),"no match")</f>
        <v>7</v>
      </c>
    </row>
    <row r="9" spans="1:4">
      <c r="A9" s="56" t="s">
        <v>639</v>
      </c>
      <c r="B9" s="56" t="s">
        <v>640</v>
      </c>
      <c r="C9" s="10">
        <f>IFERROR(MATCH(A9,'RA-RTP'!$B$3:$B$1000,0),"no match")</f>
        <v>84</v>
      </c>
      <c r="D9" s="10">
        <f>IFERROR(INDEX('RA-RTP'!$A$3:$A$1000,MATCH(A9,'RA-RTP'!$B$3:$B$1000,0)),"no match")</f>
        <v>8</v>
      </c>
    </row>
    <row r="10" spans="1:4">
      <c r="A10" s="53" t="s">
        <v>645</v>
      </c>
      <c r="B10" s="54" t="s">
        <v>624</v>
      </c>
      <c r="C10" s="10">
        <f>IFERROR(MATCH(A10,'RA-RTP'!$B$3:$B$1000,0),"no match")</f>
        <v>96</v>
      </c>
      <c r="D10" s="10">
        <f>IFERROR(INDEX('RA-RTP'!$A$3:$A$1000,MATCH(A10,'RA-RTP'!$B$3:$B$1000,0)),"no match")</f>
        <v>9</v>
      </c>
    </row>
    <row r="11" spans="1:4">
      <c r="A11" s="52" t="s">
        <v>627</v>
      </c>
      <c r="B11" s="52" t="s">
        <v>627</v>
      </c>
      <c r="C11" s="10">
        <f>IFERROR(MATCH(A11,'RA-RTP'!$B$3:$B$1000,0),"no match")</f>
        <v>108</v>
      </c>
      <c r="D11" s="10">
        <f>IFERROR(INDEX('RA-RTP'!$A$3:$A$1000,MATCH(A11,'RA-RTP'!$B$3:$B$1000,0)),"no match")</f>
        <v>10</v>
      </c>
    </row>
    <row r="12" spans="1:4">
      <c r="A12" s="53" t="s">
        <v>644</v>
      </c>
      <c r="B12" s="55" t="s">
        <v>623</v>
      </c>
      <c r="C12" s="10">
        <f>IFERROR(MATCH(A12,'RA-RTP'!$B$3:$B$1000,0),"no match")</f>
        <v>120</v>
      </c>
      <c r="D12" s="10">
        <f>IFERROR(INDEX('RA-RTP'!$A$3:$A$1000,MATCH(A12,'RA-RTP'!$B$3:$B$1000,0)),"no match")</f>
        <v>11</v>
      </c>
    </row>
    <row r="13" spans="1:4" s="50" customFormat="1">
      <c r="A13" s="56" t="s">
        <v>642</v>
      </c>
      <c r="B13" s="56" t="s">
        <v>643</v>
      </c>
      <c r="C13" s="10">
        <f>IFERROR(MATCH(A13,'RA-RTP'!$B$3:$B$1000,0),"no match")</f>
        <v>132</v>
      </c>
      <c r="D13" s="10">
        <f>IFERROR(INDEX('RA-RTP'!$A$3:$A$1000,MATCH(A13,'RA-RTP'!$B$3:$B$1000,0)),"no match")</f>
        <v>12</v>
      </c>
    </row>
    <row r="14" spans="1:4" s="50" customFormat="1">
      <c r="A14" s="52" t="s">
        <v>638</v>
      </c>
      <c r="B14" s="52" t="s">
        <v>638</v>
      </c>
      <c r="C14" s="10">
        <f>IFERROR(MATCH(A14,'RA-RTP'!$B$3:$B$1000,0),"no match")</f>
        <v>136</v>
      </c>
      <c r="D14" s="10">
        <f>IFERROR(INDEX('RA-RTP'!$A$3:$A$1000,MATCH(A14,'RA-RTP'!$B$3:$B$1000,0)),"no match")</f>
        <v>13</v>
      </c>
    </row>
    <row r="15" spans="1:4" s="50" customFormat="1">
      <c r="A15" s="52" t="s">
        <v>630</v>
      </c>
      <c r="B15" s="52" t="s">
        <v>630</v>
      </c>
      <c r="C15" s="10">
        <f>IFERROR(MATCH(A15,'RA-RTP'!$B$3:$B$1000,0),"no match")</f>
        <v>140</v>
      </c>
      <c r="D15" s="10">
        <f>IFERROR(INDEX('RA-RTP'!$A$3:$A$1000,MATCH(A15,'RA-RTP'!$B$3:$B$1000,0)),"no match")</f>
        <v>14</v>
      </c>
    </row>
    <row r="16" spans="1:4" s="50" customFormat="1">
      <c r="A16" s="56" t="s">
        <v>560</v>
      </c>
      <c r="B16" s="56" t="s">
        <v>561</v>
      </c>
      <c r="C16" s="10">
        <f>IFERROR(MATCH(A16,'RA-RTP'!$B$3:$B$1000,0),"no match")</f>
        <v>144</v>
      </c>
      <c r="D16" s="10">
        <f>IFERROR(INDEX('RA-RTP'!$A$3:$A$1000,MATCH(A16,'RA-RTP'!$B$3:$B$1000,0)),"no match")</f>
        <v>15</v>
      </c>
    </row>
    <row r="17" spans="1:4" s="50" customFormat="1">
      <c r="A17" s="52" t="s">
        <v>636</v>
      </c>
      <c r="B17" s="53" t="s">
        <v>641</v>
      </c>
      <c r="C17" s="10">
        <f>IFERROR(MATCH(A17,'RA-RTP'!$B$3:$B$1000,0),"no match")</f>
        <v>148</v>
      </c>
      <c r="D17" s="10">
        <f>IFERROR(INDEX('RA-RTP'!$A$3:$A$1000,MATCH(A17,'RA-RTP'!$B$3:$B$1000,0)),"no match")</f>
        <v>16</v>
      </c>
    </row>
    <row r="18" spans="1:4" s="50" customFormat="1">
      <c r="A18" s="52" t="s">
        <v>637</v>
      </c>
      <c r="B18" s="52" t="s">
        <v>637</v>
      </c>
      <c r="C18" s="10">
        <f>IFERROR(MATCH(A18,'RA-RTP'!$B$3:$B$1000,0),"no match")</f>
        <v>156</v>
      </c>
      <c r="D18" s="10">
        <f>IFERROR(INDEX('RA-RTP'!$A$3:$A$1000,MATCH(A18,'RA-RTP'!$B$3:$B$1000,0)),"no match")</f>
        <v>17</v>
      </c>
    </row>
    <row r="19" spans="1:4" s="50" customFormat="1">
      <c r="A19" s="52" t="s">
        <v>633</v>
      </c>
      <c r="B19" s="52" t="s">
        <v>633</v>
      </c>
      <c r="C19" s="10">
        <f>IFERROR(MATCH(A19,'RA-RTP'!$B$3:$B$1000,0),"no match")</f>
        <v>160</v>
      </c>
      <c r="D19" s="10">
        <f>IFERROR(INDEX('RA-RTP'!$A$3:$A$1000,MATCH(A19,'RA-RTP'!$B$3:$B$1000,0)),"no match")</f>
        <v>18</v>
      </c>
    </row>
    <row r="20" spans="1:4" s="50" customFormat="1">
      <c r="A20" s="52" t="s">
        <v>635</v>
      </c>
      <c r="B20" s="52" t="s">
        <v>635</v>
      </c>
      <c r="C20" s="10">
        <f>IFERROR(MATCH(A20,'RA-RTP'!$B$3:$B$1000,0),"no match")</f>
        <v>164</v>
      </c>
      <c r="D20" s="10">
        <f>IFERROR(INDEX('RA-RTP'!$A$3:$A$1000,MATCH(A20,'RA-RTP'!$B$3:$B$1000,0)),"no match")</f>
        <v>19</v>
      </c>
    </row>
    <row r="21" spans="1:4" s="50" customFormat="1">
      <c r="A21" s="53" t="s">
        <v>646</v>
      </c>
      <c r="B21" s="54" t="s">
        <v>625</v>
      </c>
      <c r="C21" s="10">
        <f>IFERROR(MATCH(A21,'RA-RTP'!$B$3:$B$1000,0),"no match")</f>
        <v>168</v>
      </c>
      <c r="D21" s="10">
        <f>IFERROR(INDEX('RA-RTP'!$A$3:$A$1000,MATCH(A21,'RA-RTP'!$B$3:$B$1000,0)),"no match")</f>
        <v>20</v>
      </c>
    </row>
    <row r="22" spans="1:4" s="50" customFormat="1">
      <c r="A22" s="52" t="s">
        <v>631</v>
      </c>
      <c r="B22" s="52" t="s">
        <v>631</v>
      </c>
      <c r="C22" s="10">
        <f>IFERROR(MATCH(A22,'RA-RTP'!$B$3:$B$1000,0),"no match")</f>
        <v>172</v>
      </c>
      <c r="D22" s="10">
        <f>IFERROR(INDEX('RA-RTP'!$A$3:$A$1000,MATCH(A22,'RA-RTP'!$B$3:$B$1000,0)),"no match")</f>
        <v>21</v>
      </c>
    </row>
    <row r="23" spans="1:4" s="50" customFormat="1">
      <c r="A23" s="52" t="s">
        <v>628</v>
      </c>
      <c r="B23" s="52" t="s">
        <v>628</v>
      </c>
      <c r="C23" s="10">
        <f>IFERROR(MATCH(A23,'RA-RTP'!$B$3:$B$1000,0),"no match")</f>
        <v>176</v>
      </c>
      <c r="D23" s="10">
        <f>IFERROR(INDEX('RA-RTP'!$A$3:$A$1000,MATCH(A23,'RA-RTP'!$B$3:$B$1000,0)),"no match")</f>
        <v>22</v>
      </c>
    </row>
    <row r="24" spans="1:4" s="50" customFormat="1">
      <c r="A24" s="52" t="s">
        <v>626</v>
      </c>
      <c r="B24" s="52" t="s">
        <v>626</v>
      </c>
      <c r="C24" s="10">
        <f>IFERROR(MATCH(A24,'RA-RTP'!$B$3:$B$1000,0),"no match")</f>
        <v>180</v>
      </c>
      <c r="D24" s="10">
        <f>IFERROR(INDEX('RA-RTP'!$A$3:$A$1000,MATCH(A24,'RA-RTP'!$B$3:$B$1000,0)),"no match")</f>
        <v>23</v>
      </c>
    </row>
    <row r="25" spans="1:4" s="50" customFormat="1">
      <c r="A25" s="52" t="s">
        <v>632</v>
      </c>
      <c r="B25" s="52" t="s">
        <v>632</v>
      </c>
      <c r="C25" s="10">
        <f>IFERROR(MATCH(A25,'RA-RTP'!$B$3:$B$1000,0),"no match")</f>
        <v>184</v>
      </c>
      <c r="D25" s="10">
        <f>IFERROR(INDEX('RA-RTP'!$A$3:$A$1000,MATCH(A25,'RA-RTP'!$B$3:$B$1000,0)),"no match")</f>
        <v>24</v>
      </c>
    </row>
    <row r="26" spans="1:4" s="50" customFormat="1">
      <c r="A26" s="52" t="s">
        <v>629</v>
      </c>
      <c r="B26" s="52" t="s">
        <v>629</v>
      </c>
      <c r="C26" s="10">
        <f>IFERROR(MATCH(A26,'RA-RTP'!$B$3:$B$1000,0),"no match")</f>
        <v>188</v>
      </c>
      <c r="D26" s="10">
        <f>IFERROR(INDEX('RA-RTP'!$A$3:$A$1000,MATCH(A26,'RA-RTP'!$B$3:$B$1000,0)),"no match")</f>
        <v>25</v>
      </c>
    </row>
    <row r="27" spans="1:4" s="50" customFormat="1">
      <c r="A27" s="68" t="s">
        <v>705</v>
      </c>
      <c r="B27" s="68" t="s">
        <v>706</v>
      </c>
      <c r="C27" s="10" t="str">
        <f>IFERROR(MATCH(A27,'RA-RTP'!$B$3:$B$1000,0),"no match")</f>
        <v>no match</v>
      </c>
      <c r="D27" s="10" t="str">
        <f>IFERROR(INDEX('RA-RTP'!$A$3:$A$1000,MATCH(A27,'RA-RTP'!$B$3:$B$1000,0)),"no match")</f>
        <v>no match</v>
      </c>
    </row>
    <row r="28" spans="1:4" s="50" customFormat="1">
      <c r="A28" s="68" t="s">
        <v>707</v>
      </c>
      <c r="B28" s="68" t="s">
        <v>708</v>
      </c>
      <c r="C28" s="10" t="str">
        <f>IFERROR(MATCH(A28,'RA-RTP'!$B$3:$B$1000,0),"no match")</f>
        <v>no match</v>
      </c>
      <c r="D28" s="10" t="str">
        <f>IFERROR(INDEX('RA-RTP'!$A$3:$A$1000,MATCH(A28,'RA-RTP'!$B$3:$B$1000,0)),"no match")</f>
        <v>no match</v>
      </c>
    </row>
    <row r="29" spans="1:4" s="50" customFormat="1">
      <c r="A29" s="68" t="s">
        <v>709</v>
      </c>
      <c r="B29" s="68" t="s">
        <v>710</v>
      </c>
      <c r="C29" s="10" t="str">
        <f>IFERROR(MATCH(A29,'RA-RTP'!$B$3:$B$1000,0),"no match")</f>
        <v>no match</v>
      </c>
      <c r="D29" s="10" t="str">
        <f>IFERROR(INDEX('RA-RTP'!$A$3:$A$1000,MATCH(A29,'RA-RTP'!$B$3:$B$1000,0)),"no match")</f>
        <v>no match</v>
      </c>
    </row>
    <row r="30" spans="1:4" s="50" customFormat="1">
      <c r="A30" s="68" t="s">
        <v>711</v>
      </c>
      <c r="B30" s="68" t="s">
        <v>712</v>
      </c>
      <c r="C30" s="10" t="str">
        <f>IFERROR(MATCH(A30,'RA-RTP'!$B$3:$B$1000,0),"no match")</f>
        <v>no match</v>
      </c>
      <c r="D30" s="10" t="str">
        <f>IFERROR(INDEX('RA-RTP'!$A$3:$A$1000,MATCH(A30,'RA-RTP'!$B$3:$B$1000,0)),"no match")</f>
        <v>no match</v>
      </c>
    </row>
    <row r="31" spans="1:4" s="50" customFormat="1">
      <c r="A31" s="68" t="s">
        <v>713</v>
      </c>
      <c r="B31" s="52"/>
      <c r="C31" s="10" t="str">
        <f>IFERROR(MATCH(A31,'RA-RTP'!$B$3:$B$1000,0),"no match")</f>
        <v>no match</v>
      </c>
      <c r="D31" s="10" t="str">
        <f>IFERROR(INDEX('RA-RTP'!$A$3:$A$1000,MATCH(A31,'RA-RTP'!$B$3:$B$1000,0)),"no match")</f>
        <v>no match</v>
      </c>
    </row>
    <row r="32" spans="1:4" s="50" customFormat="1">
      <c r="A32" s="68" t="s">
        <v>714</v>
      </c>
      <c r="B32" s="52"/>
      <c r="C32" s="10" t="str">
        <f>IFERROR(MATCH(A32,'RA-RTP'!$B$3:$B$1000,0),"no match")</f>
        <v>no match</v>
      </c>
      <c r="D32" s="10" t="str">
        <f>IFERROR(INDEX('RA-RTP'!$A$3:$A$1000,MATCH(A32,'RA-RTP'!$B$3:$B$1000,0)),"no match")</f>
        <v>no match</v>
      </c>
    </row>
    <row r="33" spans="1:4">
      <c r="A33" s="68" t="s">
        <v>715</v>
      </c>
      <c r="B33" s="68" t="s">
        <v>716</v>
      </c>
      <c r="C33" s="10" t="str">
        <f>IFERROR(MATCH(A33,'RA-RTP'!$B$3:$B$1000,0),"no match")</f>
        <v>no match</v>
      </c>
      <c r="D33" s="10" t="str">
        <f>IFERROR(INDEX('RA-RTP'!$A$3:$A$1000,MATCH(A33,'RA-RTP'!$B$3:$B$1000,0)),"no match")</f>
        <v>no match</v>
      </c>
    </row>
    <row r="34" spans="1:4">
      <c r="A34" s="68" t="s">
        <v>717</v>
      </c>
      <c r="B34" s="68" t="s">
        <v>718</v>
      </c>
      <c r="C34" s="10" t="str">
        <f>IFERROR(MATCH(A34,'RA-RTP'!$B$3:$B$1000,0),"no match")</f>
        <v>no match</v>
      </c>
      <c r="D34" s="10" t="str">
        <f>IFERROR(INDEX('RA-RTP'!$A$3:$A$1000,MATCH(A34,'RA-RTP'!$B$3:$B$1000,0)),"no match")</f>
        <v>no match</v>
      </c>
    </row>
  </sheetData>
  <pageMargins left="0.70866141732283472" right="0.70866141732283472" top="0.74803149606299213" bottom="0.74803149606299213" header="0.31496062992125984" footer="0.31496062992125984"/>
  <pageSetup paperSize="9" scale="8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R194"/>
  <sheetViews>
    <sheetView showGridLines="0" zoomScale="90" zoomScaleNormal="90" workbookViewId="0">
      <pane xSplit="5" ySplit="2" topLeftCell="F3" activePane="bottomRight" state="frozenSplit"/>
      <selection activeCell="C10" sqref="C10:E10"/>
      <selection pane="topRight" activeCell="C10" sqref="C10:E10"/>
      <selection pane="bottomLeft" activeCell="C10" sqref="C10:E10"/>
      <selection pane="bottomRight" activeCell="L194" sqref="L194"/>
    </sheetView>
  </sheetViews>
  <sheetFormatPr defaultRowHeight="15"/>
  <cols>
    <col min="1" max="1" width="5.5703125" style="36" customWidth="1"/>
    <col min="2" max="2" width="12.140625" style="33" customWidth="1"/>
    <col min="3" max="3" width="12.42578125" style="33" customWidth="1"/>
    <col min="4" max="4" width="19.5703125" style="33" customWidth="1"/>
    <col min="5" max="5" width="42" style="33" customWidth="1"/>
    <col min="6" max="6" width="11.42578125" style="33" customWidth="1"/>
    <col min="7" max="9" width="11.42578125" style="36" customWidth="1"/>
    <col min="10" max="10" width="9" style="36" customWidth="1"/>
    <col min="11" max="11" width="12.5703125" style="36" customWidth="1"/>
    <col min="12" max="12" width="7.5703125" style="36" customWidth="1"/>
    <col min="13" max="13" width="36.5703125" style="33" customWidth="1"/>
    <col min="14" max="14" width="22.7109375" customWidth="1"/>
    <col min="15" max="15" width="22" customWidth="1"/>
    <col min="16" max="16" width="8.5703125" customWidth="1"/>
    <col min="17" max="17" width="12.5703125" customWidth="1"/>
    <col min="18" max="18" width="13.5703125" customWidth="1"/>
  </cols>
  <sheetData>
    <row r="1" spans="1:18" ht="18.75">
      <c r="A1" s="133" t="s">
        <v>704</v>
      </c>
      <c r="B1" s="134"/>
      <c r="C1" s="134"/>
      <c r="D1" s="134"/>
      <c r="E1" s="134"/>
      <c r="F1" s="134"/>
      <c r="G1" s="134"/>
      <c r="H1" s="134"/>
      <c r="I1" s="134"/>
      <c r="J1" s="134"/>
      <c r="K1" s="134"/>
      <c r="L1" s="134"/>
      <c r="M1" s="135"/>
      <c r="N1" s="136" t="s">
        <v>660</v>
      </c>
      <c r="O1" s="137"/>
      <c r="P1" s="137"/>
      <c r="Q1" s="137"/>
      <c r="R1" s="137"/>
    </row>
    <row r="2" spans="1:18" s="12" customFormat="1" ht="30">
      <c r="A2" s="51" t="s">
        <v>0</v>
      </c>
      <c r="B2" s="51" t="s">
        <v>437</v>
      </c>
      <c r="C2" s="51" t="s">
        <v>1</v>
      </c>
      <c r="D2" s="51" t="s">
        <v>2</v>
      </c>
      <c r="E2" s="51" t="s">
        <v>3</v>
      </c>
      <c r="F2" s="51" t="s">
        <v>4</v>
      </c>
      <c r="G2" s="51" t="s">
        <v>551</v>
      </c>
      <c r="H2" s="51" t="s">
        <v>552</v>
      </c>
      <c r="I2" s="51" t="s">
        <v>568</v>
      </c>
      <c r="J2" s="51" t="s">
        <v>5</v>
      </c>
      <c r="K2" s="51" t="s">
        <v>6</v>
      </c>
      <c r="L2" s="51" t="s">
        <v>7</v>
      </c>
      <c r="M2" s="51" t="s">
        <v>8</v>
      </c>
      <c r="N2" s="59" t="s">
        <v>661</v>
      </c>
      <c r="O2" s="59" t="s">
        <v>662</v>
      </c>
      <c r="P2" s="59" t="s">
        <v>663</v>
      </c>
      <c r="Q2" s="59" t="s">
        <v>666</v>
      </c>
      <c r="R2" s="59" t="s">
        <v>664</v>
      </c>
    </row>
    <row r="3" spans="1:18" s="7" customFormat="1" ht="90">
      <c r="A3" s="47">
        <v>1</v>
      </c>
      <c r="B3" s="44" t="s">
        <v>553</v>
      </c>
      <c r="C3" s="37" t="s">
        <v>692</v>
      </c>
      <c r="D3" s="31" t="s">
        <v>112</v>
      </c>
      <c r="E3" s="31" t="s">
        <v>569</v>
      </c>
      <c r="F3" s="37" t="s">
        <v>692</v>
      </c>
      <c r="G3" s="34">
        <v>5</v>
      </c>
      <c r="H3" s="34">
        <v>5</v>
      </c>
      <c r="I3" s="34">
        <v>5</v>
      </c>
      <c r="J3" s="35">
        <f>IF(MAX(G3:I3)=0,"",MAX(G3:I3))</f>
        <v>5</v>
      </c>
      <c r="K3" s="35">
        <v>1</v>
      </c>
      <c r="L3" s="34">
        <f>IFERROR(J3*K3,"")</f>
        <v>5</v>
      </c>
      <c r="M3" s="42" t="s">
        <v>571</v>
      </c>
      <c r="N3" s="61" t="s">
        <v>673</v>
      </c>
      <c r="O3" s="61" t="s">
        <v>665</v>
      </c>
      <c r="P3" s="37" t="s">
        <v>692</v>
      </c>
      <c r="Q3" s="37" t="s">
        <v>679</v>
      </c>
      <c r="R3" s="62">
        <v>43445</v>
      </c>
    </row>
    <row r="4" spans="1:18" s="7" customFormat="1" ht="45">
      <c r="A4" s="48"/>
      <c r="B4" s="45"/>
      <c r="C4" s="38"/>
      <c r="D4" s="31" t="s">
        <v>11</v>
      </c>
      <c r="E4" s="31" t="s">
        <v>67</v>
      </c>
      <c r="F4" s="38" t="str">
        <f>IF($C4&lt;&gt;"",C4,"")</f>
        <v/>
      </c>
      <c r="G4" s="34">
        <v>1</v>
      </c>
      <c r="H4" s="34">
        <v>1</v>
      </c>
      <c r="I4" s="34">
        <v>5</v>
      </c>
      <c r="J4" s="35">
        <f t="shared" ref="J4:J14" si="0">IF(MAX(G4:I4)=0,"",MAX(G4:I4))</f>
        <v>5</v>
      </c>
      <c r="K4" s="35">
        <v>1</v>
      </c>
      <c r="L4" s="34">
        <f t="shared" ref="L4:L14" si="1">IFERROR(J4*K4,"")</f>
        <v>5</v>
      </c>
      <c r="M4" s="42" t="s">
        <v>595</v>
      </c>
      <c r="N4" s="61" t="s">
        <v>673</v>
      </c>
      <c r="O4" s="61" t="s">
        <v>672</v>
      </c>
      <c r="P4" s="37"/>
      <c r="Q4" s="37" t="s">
        <v>679</v>
      </c>
      <c r="R4" s="60"/>
    </row>
    <row r="5" spans="1:18" s="7" customFormat="1" ht="60">
      <c r="A5" s="48"/>
      <c r="B5" s="45"/>
      <c r="C5" s="38"/>
      <c r="D5" s="31" t="s">
        <v>25</v>
      </c>
      <c r="E5" s="31" t="s">
        <v>69</v>
      </c>
      <c r="F5" s="38" t="str">
        <f>IF($C5&lt;&gt;"",C5,"")</f>
        <v/>
      </c>
      <c r="G5" s="34">
        <v>1</v>
      </c>
      <c r="H5" s="34">
        <v>1</v>
      </c>
      <c r="I5" s="34">
        <v>5</v>
      </c>
      <c r="J5" s="35">
        <f t="shared" ref="J5" si="2">IF(MAX(G5:I5)=0,"",MAX(G5:I5))</f>
        <v>5</v>
      </c>
      <c r="K5" s="35">
        <v>1</v>
      </c>
      <c r="L5" s="34">
        <f t="shared" ref="L5" si="3">IFERROR(J5*K5,"")</f>
        <v>5</v>
      </c>
      <c r="M5" s="42" t="s">
        <v>570</v>
      </c>
      <c r="N5" s="61" t="s">
        <v>673</v>
      </c>
      <c r="O5" s="61" t="s">
        <v>677</v>
      </c>
      <c r="P5" s="37"/>
      <c r="Q5" s="37" t="s">
        <v>679</v>
      </c>
      <c r="R5" s="60"/>
    </row>
    <row r="6" spans="1:18" s="7" customFormat="1" ht="60">
      <c r="A6" s="48"/>
      <c r="B6" s="45"/>
      <c r="C6" s="38"/>
      <c r="D6" s="31" t="s">
        <v>25</v>
      </c>
      <c r="E6" s="31" t="s">
        <v>81</v>
      </c>
      <c r="F6" s="38"/>
      <c r="G6" s="34">
        <v>1</v>
      </c>
      <c r="H6" s="34">
        <v>1</v>
      </c>
      <c r="I6" s="34">
        <v>5</v>
      </c>
      <c r="J6" s="35">
        <f t="shared" ref="J6" si="4">IF(MAX(G6:I6)=0,"",MAX(G6:I6))</f>
        <v>5</v>
      </c>
      <c r="K6" s="35">
        <v>1</v>
      </c>
      <c r="L6" s="34">
        <f t="shared" si="1"/>
        <v>5</v>
      </c>
      <c r="M6" s="42" t="s">
        <v>573</v>
      </c>
      <c r="N6" s="61" t="s">
        <v>673</v>
      </c>
      <c r="O6" s="61" t="s">
        <v>677</v>
      </c>
      <c r="P6" s="37"/>
      <c r="Q6" s="37" t="s">
        <v>679</v>
      </c>
      <c r="R6" s="60"/>
    </row>
    <row r="7" spans="1:18" s="7" customFormat="1" ht="60">
      <c r="A7" s="48"/>
      <c r="B7" s="45"/>
      <c r="C7" s="38"/>
      <c r="D7" s="31" t="s">
        <v>25</v>
      </c>
      <c r="E7" s="31" t="s">
        <v>90</v>
      </c>
      <c r="F7" s="38"/>
      <c r="G7" s="34">
        <v>1</v>
      </c>
      <c r="H7" s="34">
        <v>1</v>
      </c>
      <c r="I7" s="34">
        <v>5</v>
      </c>
      <c r="J7" s="35">
        <f t="shared" ref="J7" si="5">IF(MAX(G7:I7)=0,"",MAX(G7:I7))</f>
        <v>5</v>
      </c>
      <c r="K7" s="35">
        <v>1</v>
      </c>
      <c r="L7" s="34">
        <f t="shared" ref="L7" si="6">IFERROR(J7*K7,"")</f>
        <v>5</v>
      </c>
      <c r="M7" s="42" t="s">
        <v>572</v>
      </c>
      <c r="N7" s="61" t="s">
        <v>673</v>
      </c>
      <c r="O7" s="61" t="s">
        <v>677</v>
      </c>
      <c r="P7" s="37"/>
      <c r="Q7" s="37" t="s">
        <v>679</v>
      </c>
      <c r="R7" s="60"/>
    </row>
    <row r="8" spans="1:18" s="7" customFormat="1" ht="60">
      <c r="A8" s="48"/>
      <c r="B8" s="45"/>
      <c r="C8" s="38"/>
      <c r="D8" s="31" t="s">
        <v>25</v>
      </c>
      <c r="E8" s="31" t="s">
        <v>91</v>
      </c>
      <c r="F8" s="38"/>
      <c r="G8" s="34">
        <v>1</v>
      </c>
      <c r="H8" s="34">
        <v>1</v>
      </c>
      <c r="I8" s="34">
        <v>5</v>
      </c>
      <c r="J8" s="35">
        <f t="shared" ref="J8" si="7">IF(MAX(G8:I8)=0,"",MAX(G8:I8))</f>
        <v>5</v>
      </c>
      <c r="K8" s="35">
        <v>1</v>
      </c>
      <c r="L8" s="34">
        <f t="shared" ref="L8" si="8">IFERROR(J8*K8,"")</f>
        <v>5</v>
      </c>
      <c r="M8" s="42" t="s">
        <v>574</v>
      </c>
      <c r="N8" s="61" t="s">
        <v>673</v>
      </c>
      <c r="O8" s="61" t="s">
        <v>677</v>
      </c>
      <c r="P8" s="37"/>
      <c r="Q8" s="37" t="s">
        <v>679</v>
      </c>
      <c r="R8" s="60"/>
    </row>
    <row r="9" spans="1:18" s="7" customFormat="1" ht="90">
      <c r="A9" s="48"/>
      <c r="B9" s="45"/>
      <c r="C9" s="38"/>
      <c r="D9" s="31" t="s">
        <v>27</v>
      </c>
      <c r="E9" s="31" t="s">
        <v>80</v>
      </c>
      <c r="F9" s="38" t="str">
        <f t="shared" ref="F9:F14" si="9">IF($C9&lt;&gt;"",C9,"")</f>
        <v/>
      </c>
      <c r="G9" s="34">
        <v>1</v>
      </c>
      <c r="H9" s="34">
        <v>1</v>
      </c>
      <c r="I9" s="34">
        <v>5</v>
      </c>
      <c r="J9" s="35">
        <f t="shared" ref="J9:J10" si="10">IF(MAX(G9:I9)=0,"",MAX(G9:I9))</f>
        <v>5</v>
      </c>
      <c r="K9" s="35">
        <v>1</v>
      </c>
      <c r="L9" s="34">
        <f t="shared" ref="L9:L10" si="11">IFERROR(J9*K9,"")</f>
        <v>5</v>
      </c>
      <c r="M9" s="42" t="s">
        <v>575</v>
      </c>
      <c r="N9" s="61" t="s">
        <v>676</v>
      </c>
      <c r="O9" s="61" t="s">
        <v>678</v>
      </c>
      <c r="P9" s="37"/>
      <c r="Q9" s="37" t="s">
        <v>680</v>
      </c>
      <c r="R9" s="60"/>
    </row>
    <row r="10" spans="1:18" s="7" customFormat="1" ht="60">
      <c r="A10" s="48"/>
      <c r="B10" s="45"/>
      <c r="C10" s="38"/>
      <c r="D10" s="31" t="s">
        <v>32</v>
      </c>
      <c r="E10" s="31" t="s">
        <v>91</v>
      </c>
      <c r="F10" s="38" t="str">
        <f t="shared" si="9"/>
        <v/>
      </c>
      <c r="G10" s="34">
        <v>1</v>
      </c>
      <c r="H10" s="34">
        <v>1</v>
      </c>
      <c r="I10" s="34">
        <v>5</v>
      </c>
      <c r="J10" s="35">
        <f t="shared" si="10"/>
        <v>5</v>
      </c>
      <c r="K10" s="35">
        <v>1</v>
      </c>
      <c r="L10" s="34">
        <f t="shared" si="11"/>
        <v>5</v>
      </c>
      <c r="M10" s="42" t="s">
        <v>576</v>
      </c>
      <c r="N10" s="61" t="s">
        <v>676</v>
      </c>
      <c r="O10" s="61" t="s">
        <v>678</v>
      </c>
      <c r="P10" s="37"/>
      <c r="Q10" s="37" t="s">
        <v>680</v>
      </c>
      <c r="R10" s="61"/>
    </row>
    <row r="11" spans="1:18" s="7" customFormat="1" ht="60">
      <c r="A11" s="48"/>
      <c r="B11" s="45"/>
      <c r="C11" s="38"/>
      <c r="D11" s="31" t="s">
        <v>38</v>
      </c>
      <c r="E11" s="31" t="s">
        <v>68</v>
      </c>
      <c r="F11" s="38" t="str">
        <f t="shared" si="9"/>
        <v/>
      </c>
      <c r="G11" s="34">
        <v>5</v>
      </c>
      <c r="H11" s="34">
        <v>1</v>
      </c>
      <c r="I11" s="34">
        <v>1</v>
      </c>
      <c r="J11" s="35">
        <f t="shared" si="0"/>
        <v>5</v>
      </c>
      <c r="K11" s="35">
        <v>1</v>
      </c>
      <c r="L11" s="41">
        <f t="shared" si="1"/>
        <v>5</v>
      </c>
      <c r="M11" s="42" t="s">
        <v>578</v>
      </c>
      <c r="N11" s="61" t="s">
        <v>673</v>
      </c>
      <c r="O11" s="61" t="s">
        <v>682</v>
      </c>
      <c r="P11" s="37"/>
      <c r="Q11" s="37" t="s">
        <v>679</v>
      </c>
      <c r="R11" s="61"/>
    </row>
    <row r="12" spans="1:18" s="7" customFormat="1" ht="75">
      <c r="A12" s="48"/>
      <c r="B12" s="45"/>
      <c r="C12" s="38"/>
      <c r="D12" s="31" t="s">
        <v>38</v>
      </c>
      <c r="E12" s="31" t="s">
        <v>72</v>
      </c>
      <c r="F12" s="38" t="str">
        <f t="shared" si="9"/>
        <v/>
      </c>
      <c r="G12" s="34">
        <v>5</v>
      </c>
      <c r="H12" s="34">
        <v>5</v>
      </c>
      <c r="I12" s="34">
        <v>5</v>
      </c>
      <c r="J12" s="35">
        <f t="shared" si="0"/>
        <v>5</v>
      </c>
      <c r="K12" s="35">
        <v>1</v>
      </c>
      <c r="L12" s="41">
        <f t="shared" si="1"/>
        <v>5</v>
      </c>
      <c r="M12" s="42" t="s">
        <v>577</v>
      </c>
      <c r="N12" s="61" t="s">
        <v>673</v>
      </c>
      <c r="O12" s="61" t="s">
        <v>683</v>
      </c>
      <c r="P12" s="37"/>
      <c r="Q12" s="37" t="s">
        <v>679</v>
      </c>
      <c r="R12" s="61"/>
    </row>
    <row r="13" spans="1:18" s="7" customFormat="1" ht="60">
      <c r="A13" s="48"/>
      <c r="B13" s="45"/>
      <c r="C13" s="38"/>
      <c r="D13" s="31" t="s">
        <v>21</v>
      </c>
      <c r="E13" s="31" t="s">
        <v>579</v>
      </c>
      <c r="F13" s="38" t="str">
        <f t="shared" ref="F13" si="12">IF($C13&lt;&gt;"",C13,"")</f>
        <v/>
      </c>
      <c r="G13" s="34">
        <v>1</v>
      </c>
      <c r="H13" s="34">
        <v>1</v>
      </c>
      <c r="I13" s="34">
        <v>5</v>
      </c>
      <c r="J13" s="35">
        <f t="shared" ref="J13" si="13">IF(MAX(G13:I13)=0,"",MAX(G13:I13))</f>
        <v>5</v>
      </c>
      <c r="K13" s="35">
        <v>1</v>
      </c>
      <c r="L13" s="41">
        <f t="shared" ref="L13" si="14">IFERROR(J13*K13,"")</f>
        <v>5</v>
      </c>
      <c r="M13" s="42" t="s">
        <v>580</v>
      </c>
      <c r="N13" s="61" t="s">
        <v>673</v>
      </c>
      <c r="O13" s="60" t="s">
        <v>677</v>
      </c>
      <c r="P13" s="37"/>
      <c r="Q13" s="37" t="s">
        <v>679</v>
      </c>
      <c r="R13" s="60"/>
    </row>
    <row r="14" spans="1:18" s="7" customFormat="1" ht="135">
      <c r="A14" s="49"/>
      <c r="B14" s="46"/>
      <c r="C14" s="39"/>
      <c r="D14" s="31" t="s">
        <v>31</v>
      </c>
      <c r="E14" s="31" t="s">
        <v>581</v>
      </c>
      <c r="F14" s="39" t="str">
        <f t="shared" si="9"/>
        <v/>
      </c>
      <c r="G14" s="34">
        <v>5</v>
      </c>
      <c r="H14" s="34">
        <v>5</v>
      </c>
      <c r="I14" s="34">
        <v>1</v>
      </c>
      <c r="J14" s="35">
        <f t="shared" si="0"/>
        <v>5</v>
      </c>
      <c r="K14" s="35">
        <v>1</v>
      </c>
      <c r="L14" s="41">
        <f t="shared" si="1"/>
        <v>5</v>
      </c>
      <c r="M14" s="42" t="s">
        <v>582</v>
      </c>
      <c r="N14" s="61" t="s">
        <v>673</v>
      </c>
      <c r="O14" s="61" t="s">
        <v>684</v>
      </c>
      <c r="P14" s="37"/>
      <c r="Q14" s="37" t="s">
        <v>679</v>
      </c>
      <c r="R14" s="61"/>
    </row>
    <row r="15" spans="1:18" s="7" customFormat="1" ht="120">
      <c r="A15" s="47">
        <v>2</v>
      </c>
      <c r="B15" s="44" t="s">
        <v>647</v>
      </c>
      <c r="C15" s="37" t="s">
        <v>434</v>
      </c>
      <c r="D15" s="31" t="s">
        <v>112</v>
      </c>
      <c r="E15" s="31" t="s">
        <v>583</v>
      </c>
      <c r="F15" s="37" t="s">
        <v>435</v>
      </c>
      <c r="G15" s="34">
        <v>5</v>
      </c>
      <c r="H15" s="34">
        <v>5</v>
      </c>
      <c r="I15" s="34">
        <v>5</v>
      </c>
      <c r="J15" s="35">
        <f>IF(MAX(G15:I15)=0,"",MAX(G15:I15))</f>
        <v>5</v>
      </c>
      <c r="K15" s="35">
        <v>1</v>
      </c>
      <c r="L15" s="34">
        <f>IFERROR(J15*K15,"")</f>
        <v>5</v>
      </c>
      <c r="M15" s="42" t="s">
        <v>597</v>
      </c>
      <c r="N15" s="61" t="s">
        <v>673</v>
      </c>
      <c r="O15" s="61" t="s">
        <v>685</v>
      </c>
      <c r="P15" s="37"/>
      <c r="Q15" s="37" t="s">
        <v>679</v>
      </c>
      <c r="R15" s="61"/>
    </row>
    <row r="16" spans="1:18" s="7" customFormat="1" ht="60">
      <c r="A16" s="48"/>
      <c r="B16" s="45"/>
      <c r="C16" s="38"/>
      <c r="D16" s="31" t="s">
        <v>25</v>
      </c>
      <c r="E16" s="31" t="s">
        <v>69</v>
      </c>
      <c r="F16" s="38" t="str">
        <f>IF($C16&lt;&gt;"",C16,"")</f>
        <v/>
      </c>
      <c r="G16" s="34">
        <v>1</v>
      </c>
      <c r="H16" s="34">
        <v>1</v>
      </c>
      <c r="I16" s="34">
        <v>5</v>
      </c>
      <c r="J16" s="35">
        <f t="shared" ref="J16:J23" si="15">IF(MAX(G16:I16)=0,"",MAX(G16:I16))</f>
        <v>5</v>
      </c>
      <c r="K16" s="35">
        <v>1</v>
      </c>
      <c r="L16" s="34">
        <f t="shared" ref="L16:L23" si="16">IFERROR(J16*K16,"")</f>
        <v>5</v>
      </c>
      <c r="M16" s="42" t="s">
        <v>588</v>
      </c>
      <c r="N16" s="61" t="s">
        <v>673</v>
      </c>
      <c r="O16" s="61" t="s">
        <v>677</v>
      </c>
      <c r="P16" s="37"/>
      <c r="Q16" s="37" t="s">
        <v>679</v>
      </c>
      <c r="R16" s="61"/>
    </row>
    <row r="17" spans="1:18" s="7" customFormat="1" ht="60">
      <c r="A17" s="48"/>
      <c r="B17" s="45"/>
      <c r="C17" s="38"/>
      <c r="D17" s="31" t="s">
        <v>25</v>
      </c>
      <c r="E17" s="31" t="s">
        <v>81</v>
      </c>
      <c r="F17" s="38"/>
      <c r="G17" s="34">
        <v>1</v>
      </c>
      <c r="H17" s="34">
        <v>1</v>
      </c>
      <c r="I17" s="34">
        <v>5</v>
      </c>
      <c r="J17" s="35">
        <f t="shared" si="15"/>
        <v>5</v>
      </c>
      <c r="K17" s="35">
        <v>1</v>
      </c>
      <c r="L17" s="34">
        <f t="shared" si="16"/>
        <v>5</v>
      </c>
      <c r="M17" s="42" t="s">
        <v>589</v>
      </c>
      <c r="N17" s="61" t="s">
        <v>673</v>
      </c>
      <c r="O17" s="61" t="s">
        <v>677</v>
      </c>
      <c r="P17" s="37"/>
      <c r="Q17" s="37" t="s">
        <v>679</v>
      </c>
      <c r="R17" s="61"/>
    </row>
    <row r="18" spans="1:18" s="7" customFormat="1" ht="60">
      <c r="A18" s="48"/>
      <c r="B18" s="45"/>
      <c r="C18" s="38"/>
      <c r="D18" s="31" t="s">
        <v>25</v>
      </c>
      <c r="E18" s="31" t="s">
        <v>90</v>
      </c>
      <c r="F18" s="38"/>
      <c r="G18" s="34">
        <v>1</v>
      </c>
      <c r="H18" s="34">
        <v>1</v>
      </c>
      <c r="I18" s="34">
        <v>5</v>
      </c>
      <c r="J18" s="35">
        <f t="shared" si="15"/>
        <v>5</v>
      </c>
      <c r="K18" s="35">
        <v>1</v>
      </c>
      <c r="L18" s="34">
        <f t="shared" si="16"/>
        <v>5</v>
      </c>
      <c r="M18" s="42" t="s">
        <v>584</v>
      </c>
      <c r="N18" s="61" t="s">
        <v>673</v>
      </c>
      <c r="O18" s="61" t="s">
        <v>677</v>
      </c>
      <c r="P18" s="37"/>
      <c r="Q18" s="37" t="s">
        <v>679</v>
      </c>
      <c r="R18" s="61"/>
    </row>
    <row r="19" spans="1:18" s="7" customFormat="1" ht="60">
      <c r="A19" s="48"/>
      <c r="B19" s="45"/>
      <c r="C19" s="38"/>
      <c r="D19" s="31" t="s">
        <v>25</v>
      </c>
      <c r="E19" s="31" t="s">
        <v>91</v>
      </c>
      <c r="F19" s="38"/>
      <c r="G19" s="34">
        <v>1</v>
      </c>
      <c r="H19" s="34">
        <v>1</v>
      </c>
      <c r="I19" s="34">
        <v>5</v>
      </c>
      <c r="J19" s="35">
        <f t="shared" si="15"/>
        <v>5</v>
      </c>
      <c r="K19" s="35">
        <v>1</v>
      </c>
      <c r="L19" s="34">
        <f t="shared" si="16"/>
        <v>5</v>
      </c>
      <c r="M19" s="42" t="s">
        <v>585</v>
      </c>
      <c r="N19" s="61" t="s">
        <v>673</v>
      </c>
      <c r="O19" s="61" t="s">
        <v>677</v>
      </c>
      <c r="P19" s="37"/>
      <c r="Q19" s="37" t="s">
        <v>679</v>
      </c>
      <c r="R19" s="61"/>
    </row>
    <row r="20" spans="1:18" s="7" customFormat="1" ht="90">
      <c r="A20" s="48"/>
      <c r="B20" s="45"/>
      <c r="C20" s="38"/>
      <c r="D20" s="31" t="s">
        <v>27</v>
      </c>
      <c r="E20" s="31" t="s">
        <v>80</v>
      </c>
      <c r="F20" s="38" t="str">
        <f t="shared" ref="F20:F23" si="17">IF($C20&lt;&gt;"",C20,"")</f>
        <v/>
      </c>
      <c r="G20" s="34">
        <v>1</v>
      </c>
      <c r="H20" s="34">
        <v>1</v>
      </c>
      <c r="I20" s="34">
        <v>5</v>
      </c>
      <c r="J20" s="35">
        <f t="shared" si="15"/>
        <v>5</v>
      </c>
      <c r="K20" s="35">
        <v>1</v>
      </c>
      <c r="L20" s="34">
        <f t="shared" si="16"/>
        <v>5</v>
      </c>
      <c r="M20" s="42" t="s">
        <v>586</v>
      </c>
      <c r="N20" s="61" t="s">
        <v>676</v>
      </c>
      <c r="O20" s="61" t="s">
        <v>678</v>
      </c>
      <c r="P20" s="37"/>
      <c r="Q20" s="37" t="s">
        <v>680</v>
      </c>
      <c r="R20" s="61"/>
    </row>
    <row r="21" spans="1:18" s="7" customFormat="1" ht="60">
      <c r="A21" s="48"/>
      <c r="B21" s="45"/>
      <c r="C21" s="38"/>
      <c r="D21" s="31" t="s">
        <v>32</v>
      </c>
      <c r="E21" s="31" t="s">
        <v>91</v>
      </c>
      <c r="F21" s="38" t="str">
        <f t="shared" si="17"/>
        <v/>
      </c>
      <c r="G21" s="34">
        <v>1</v>
      </c>
      <c r="H21" s="34">
        <v>1</v>
      </c>
      <c r="I21" s="34">
        <v>5</v>
      </c>
      <c r="J21" s="35">
        <f t="shared" si="15"/>
        <v>5</v>
      </c>
      <c r="K21" s="35">
        <v>1</v>
      </c>
      <c r="L21" s="34">
        <f t="shared" si="16"/>
        <v>5</v>
      </c>
      <c r="M21" s="42" t="s">
        <v>576</v>
      </c>
      <c r="N21" s="61" t="s">
        <v>676</v>
      </c>
      <c r="O21" s="61" t="s">
        <v>678</v>
      </c>
      <c r="P21" s="37"/>
      <c r="Q21" s="37" t="s">
        <v>680</v>
      </c>
      <c r="R21" s="60"/>
    </row>
    <row r="22" spans="1:18" s="7" customFormat="1" ht="60">
      <c r="A22" s="48"/>
      <c r="B22" s="45"/>
      <c r="C22" s="38"/>
      <c r="D22" s="31" t="s">
        <v>38</v>
      </c>
      <c r="E22" s="31" t="s">
        <v>68</v>
      </c>
      <c r="F22" s="38" t="str">
        <f t="shared" si="17"/>
        <v/>
      </c>
      <c r="G22" s="34">
        <v>5</v>
      </c>
      <c r="H22" s="34">
        <v>1</v>
      </c>
      <c r="I22" s="34">
        <v>1</v>
      </c>
      <c r="J22" s="35">
        <f t="shared" si="15"/>
        <v>5</v>
      </c>
      <c r="K22" s="35">
        <v>1</v>
      </c>
      <c r="L22" s="41">
        <f t="shared" si="16"/>
        <v>5</v>
      </c>
      <c r="M22" s="42" t="s">
        <v>587</v>
      </c>
      <c r="N22" s="61" t="s">
        <v>673</v>
      </c>
      <c r="O22" s="61" t="s">
        <v>682</v>
      </c>
      <c r="P22" s="37"/>
      <c r="Q22" s="37" t="s">
        <v>679</v>
      </c>
      <c r="R22" s="61"/>
    </row>
    <row r="23" spans="1:18" s="7" customFormat="1" ht="75">
      <c r="A23" s="48"/>
      <c r="B23" s="45"/>
      <c r="C23" s="38"/>
      <c r="D23" s="31" t="s">
        <v>38</v>
      </c>
      <c r="E23" s="31" t="s">
        <v>72</v>
      </c>
      <c r="F23" s="38" t="str">
        <f t="shared" si="17"/>
        <v/>
      </c>
      <c r="G23" s="34">
        <v>5</v>
      </c>
      <c r="H23" s="34">
        <v>5</v>
      </c>
      <c r="I23" s="34">
        <v>5</v>
      </c>
      <c r="J23" s="35">
        <f t="shared" si="15"/>
        <v>5</v>
      </c>
      <c r="K23" s="35">
        <v>1</v>
      </c>
      <c r="L23" s="41">
        <f t="shared" si="16"/>
        <v>5</v>
      </c>
      <c r="M23" s="42" t="s">
        <v>577</v>
      </c>
      <c r="N23" s="61" t="s">
        <v>673</v>
      </c>
      <c r="O23" s="61" t="s">
        <v>682</v>
      </c>
      <c r="P23" s="37"/>
      <c r="Q23" s="37" t="s">
        <v>679</v>
      </c>
      <c r="R23" s="61"/>
    </row>
    <row r="24" spans="1:18" s="7" customFormat="1" ht="75">
      <c r="A24" s="48"/>
      <c r="B24" s="45"/>
      <c r="C24" s="38"/>
      <c r="D24" s="31" t="s">
        <v>11</v>
      </c>
      <c r="E24" s="31" t="s">
        <v>67</v>
      </c>
      <c r="F24" s="38"/>
      <c r="G24" s="34">
        <v>1</v>
      </c>
      <c r="H24" s="34">
        <v>1</v>
      </c>
      <c r="I24" s="34">
        <v>5</v>
      </c>
      <c r="J24" s="35">
        <f t="shared" ref="J24" si="18">IF(MAX(G24:I24)=0,"",MAX(G24:I24))</f>
        <v>5</v>
      </c>
      <c r="K24" s="35">
        <v>1</v>
      </c>
      <c r="L24" s="41">
        <f t="shared" ref="L24" si="19">IFERROR(J24*K24,"")</f>
        <v>5</v>
      </c>
      <c r="M24" s="42" t="s">
        <v>594</v>
      </c>
      <c r="N24" s="61" t="s">
        <v>673</v>
      </c>
      <c r="O24" s="61" t="s">
        <v>672</v>
      </c>
      <c r="P24" s="37"/>
      <c r="Q24" s="37" t="s">
        <v>679</v>
      </c>
      <c r="R24" s="61"/>
    </row>
    <row r="25" spans="1:18" s="7" customFormat="1">
      <c r="A25" s="49"/>
      <c r="B25" s="46"/>
      <c r="C25" s="39"/>
      <c r="D25" s="31"/>
      <c r="E25" s="31"/>
      <c r="F25" s="39"/>
      <c r="G25" s="34"/>
      <c r="H25" s="34"/>
      <c r="I25" s="34"/>
      <c r="J25" s="35"/>
      <c r="K25" s="35"/>
      <c r="L25" s="41"/>
      <c r="M25" s="42"/>
      <c r="N25" s="60"/>
      <c r="O25" s="60"/>
      <c r="P25" s="37"/>
      <c r="Q25" s="37"/>
      <c r="R25" s="60"/>
    </row>
    <row r="26" spans="1:18" s="7" customFormat="1" ht="135">
      <c r="A26" s="47">
        <v>3</v>
      </c>
      <c r="B26" s="44" t="s">
        <v>648</v>
      </c>
      <c r="C26" s="37" t="s">
        <v>434</v>
      </c>
      <c r="D26" s="31" t="s">
        <v>112</v>
      </c>
      <c r="E26" s="31" t="s">
        <v>583</v>
      </c>
      <c r="F26" s="37" t="s">
        <v>435</v>
      </c>
      <c r="G26" s="34">
        <v>5</v>
      </c>
      <c r="H26" s="34">
        <v>5</v>
      </c>
      <c r="I26" s="34">
        <v>5</v>
      </c>
      <c r="J26" s="35">
        <f>IF(MAX(G26:I26)=0,"",MAX(G26:I26))</f>
        <v>5</v>
      </c>
      <c r="K26" s="35">
        <v>1</v>
      </c>
      <c r="L26" s="34">
        <f>IFERROR(J26*K26,"")</f>
        <v>5</v>
      </c>
      <c r="M26" s="42" t="s">
        <v>596</v>
      </c>
      <c r="N26" s="61" t="s">
        <v>673</v>
      </c>
      <c r="O26" s="61" t="s">
        <v>685</v>
      </c>
      <c r="P26" s="37"/>
      <c r="Q26" s="37" t="s">
        <v>679</v>
      </c>
      <c r="R26" s="61"/>
    </row>
    <row r="27" spans="1:18" s="7" customFormat="1" ht="75">
      <c r="A27" s="48"/>
      <c r="B27" s="45"/>
      <c r="C27" s="38"/>
      <c r="D27" s="31" t="s">
        <v>25</v>
      </c>
      <c r="E27" s="31" t="s">
        <v>67</v>
      </c>
      <c r="F27" s="38" t="str">
        <f>IF($C27&lt;&gt;"",C27,"")</f>
        <v/>
      </c>
      <c r="G27" s="34">
        <v>1</v>
      </c>
      <c r="H27" s="34">
        <v>1</v>
      </c>
      <c r="I27" s="34">
        <v>5</v>
      </c>
      <c r="J27" s="35">
        <f t="shared" ref="J27:J35" si="20">IF(MAX(G27:I27)=0,"",MAX(G27:I27))</f>
        <v>5</v>
      </c>
      <c r="K27" s="35">
        <v>1</v>
      </c>
      <c r="L27" s="34">
        <f t="shared" ref="L27:L35" si="21">IFERROR(J27*K27,"")</f>
        <v>5</v>
      </c>
      <c r="M27" s="42" t="s">
        <v>594</v>
      </c>
      <c r="N27" s="61" t="s">
        <v>673</v>
      </c>
      <c r="O27" s="61" t="s">
        <v>677</v>
      </c>
      <c r="P27" s="37"/>
      <c r="Q27" s="37" t="s">
        <v>679</v>
      </c>
      <c r="R27" s="61"/>
    </row>
    <row r="28" spans="1:18" s="7" customFormat="1" ht="60">
      <c r="A28" s="48"/>
      <c r="B28" s="45"/>
      <c r="C28" s="38"/>
      <c r="D28" s="31" t="s">
        <v>25</v>
      </c>
      <c r="E28" s="31" t="s">
        <v>69</v>
      </c>
      <c r="F28" s="38" t="str">
        <f>IF($C28&lt;&gt;"",C28,"")</f>
        <v/>
      </c>
      <c r="G28" s="34">
        <v>1</v>
      </c>
      <c r="H28" s="34">
        <v>1</v>
      </c>
      <c r="I28" s="34">
        <v>5</v>
      </c>
      <c r="J28" s="35">
        <f t="shared" ref="J28" si="22">IF(MAX(G28:I28)=0,"",MAX(G28:I28))</f>
        <v>5</v>
      </c>
      <c r="K28" s="35">
        <v>1</v>
      </c>
      <c r="L28" s="34">
        <f t="shared" ref="L28" si="23">IFERROR(J28*K28,"")</f>
        <v>5</v>
      </c>
      <c r="M28" s="42" t="s">
        <v>590</v>
      </c>
      <c r="N28" s="61" t="s">
        <v>673</v>
      </c>
      <c r="O28" s="61" t="s">
        <v>677</v>
      </c>
      <c r="P28" s="37"/>
      <c r="Q28" s="37" t="s">
        <v>679</v>
      </c>
      <c r="R28" s="61"/>
    </row>
    <row r="29" spans="1:18" s="7" customFormat="1" ht="60">
      <c r="A29" s="48"/>
      <c r="B29" s="45"/>
      <c r="C29" s="38"/>
      <c r="D29" s="31" t="s">
        <v>25</v>
      </c>
      <c r="E29" s="31" t="s">
        <v>81</v>
      </c>
      <c r="F29" s="38"/>
      <c r="G29" s="34">
        <v>1</v>
      </c>
      <c r="H29" s="34">
        <v>1</v>
      </c>
      <c r="I29" s="34">
        <v>5</v>
      </c>
      <c r="J29" s="35">
        <f t="shared" si="20"/>
        <v>5</v>
      </c>
      <c r="K29" s="35">
        <v>1</v>
      </c>
      <c r="L29" s="34">
        <f t="shared" si="21"/>
        <v>5</v>
      </c>
      <c r="M29" s="42" t="s">
        <v>591</v>
      </c>
      <c r="N29" s="61" t="s">
        <v>673</v>
      </c>
      <c r="O29" s="61" t="s">
        <v>677</v>
      </c>
      <c r="P29" s="37"/>
      <c r="Q29" s="37" t="s">
        <v>679</v>
      </c>
      <c r="R29" s="61"/>
    </row>
    <row r="30" spans="1:18" s="7" customFormat="1" ht="60">
      <c r="A30" s="48"/>
      <c r="B30" s="45"/>
      <c r="C30" s="38"/>
      <c r="D30" s="31" t="s">
        <v>25</v>
      </c>
      <c r="E30" s="31" t="s">
        <v>90</v>
      </c>
      <c r="F30" s="38"/>
      <c r="G30" s="34">
        <v>1</v>
      </c>
      <c r="H30" s="34">
        <v>1</v>
      </c>
      <c r="I30" s="34">
        <v>5</v>
      </c>
      <c r="J30" s="35">
        <f t="shared" si="20"/>
        <v>5</v>
      </c>
      <c r="K30" s="35">
        <v>1</v>
      </c>
      <c r="L30" s="34">
        <f t="shared" si="21"/>
        <v>5</v>
      </c>
      <c r="M30" s="42" t="s">
        <v>584</v>
      </c>
      <c r="N30" s="61" t="s">
        <v>673</v>
      </c>
      <c r="O30" s="61" t="s">
        <v>677</v>
      </c>
      <c r="P30" s="37"/>
      <c r="Q30" s="37" t="s">
        <v>679</v>
      </c>
      <c r="R30" s="61"/>
    </row>
    <row r="31" spans="1:18" s="7" customFormat="1" ht="60">
      <c r="A31" s="48"/>
      <c r="B31" s="45"/>
      <c r="C31" s="38"/>
      <c r="D31" s="31" t="s">
        <v>25</v>
      </c>
      <c r="E31" s="31" t="s">
        <v>91</v>
      </c>
      <c r="F31" s="38"/>
      <c r="G31" s="34">
        <v>1</v>
      </c>
      <c r="H31" s="34">
        <v>1</v>
      </c>
      <c r="I31" s="34">
        <v>5</v>
      </c>
      <c r="J31" s="35">
        <f t="shared" si="20"/>
        <v>5</v>
      </c>
      <c r="K31" s="35">
        <v>1</v>
      </c>
      <c r="L31" s="34">
        <f t="shared" si="21"/>
        <v>5</v>
      </c>
      <c r="M31" s="42" t="s">
        <v>585</v>
      </c>
      <c r="N31" s="61" t="s">
        <v>676</v>
      </c>
      <c r="O31" s="61" t="s">
        <v>678</v>
      </c>
      <c r="P31" s="37"/>
      <c r="Q31" s="37" t="s">
        <v>680</v>
      </c>
      <c r="R31" s="61"/>
    </row>
    <row r="32" spans="1:18" s="7" customFormat="1" ht="90">
      <c r="A32" s="48"/>
      <c r="B32" s="45"/>
      <c r="C32" s="38"/>
      <c r="D32" s="31" t="s">
        <v>27</v>
      </c>
      <c r="E32" s="31" t="s">
        <v>80</v>
      </c>
      <c r="F32" s="38" t="str">
        <f t="shared" ref="F32:F35" si="24">IF($C32&lt;&gt;"",C32,"")</f>
        <v/>
      </c>
      <c r="G32" s="34">
        <v>1</v>
      </c>
      <c r="H32" s="34">
        <v>1</v>
      </c>
      <c r="I32" s="34">
        <v>5</v>
      </c>
      <c r="J32" s="35">
        <f t="shared" si="20"/>
        <v>5</v>
      </c>
      <c r="K32" s="35">
        <v>1</v>
      </c>
      <c r="L32" s="34">
        <f t="shared" si="21"/>
        <v>5</v>
      </c>
      <c r="M32" s="42" t="s">
        <v>586</v>
      </c>
      <c r="N32" s="61" t="s">
        <v>676</v>
      </c>
      <c r="O32" s="61" t="s">
        <v>678</v>
      </c>
      <c r="P32" s="37"/>
      <c r="Q32" s="37" t="s">
        <v>680</v>
      </c>
      <c r="R32" s="60"/>
    </row>
    <row r="33" spans="1:18" s="7" customFormat="1" ht="60">
      <c r="A33" s="48"/>
      <c r="B33" s="45"/>
      <c r="C33" s="38"/>
      <c r="D33" s="31" t="s">
        <v>32</v>
      </c>
      <c r="E33" s="31" t="s">
        <v>91</v>
      </c>
      <c r="F33" s="38" t="str">
        <f t="shared" si="24"/>
        <v/>
      </c>
      <c r="G33" s="34">
        <v>1</v>
      </c>
      <c r="H33" s="34">
        <v>1</v>
      </c>
      <c r="I33" s="34">
        <v>5</v>
      </c>
      <c r="J33" s="35">
        <f t="shared" si="20"/>
        <v>5</v>
      </c>
      <c r="K33" s="35">
        <v>1</v>
      </c>
      <c r="L33" s="34">
        <f t="shared" si="21"/>
        <v>5</v>
      </c>
      <c r="M33" s="42" t="s">
        <v>576</v>
      </c>
      <c r="N33" s="61" t="s">
        <v>673</v>
      </c>
      <c r="O33" s="61" t="s">
        <v>678</v>
      </c>
      <c r="P33" s="37"/>
      <c r="Q33" s="37" t="s">
        <v>680</v>
      </c>
      <c r="R33" s="61"/>
    </row>
    <row r="34" spans="1:18" s="7" customFormat="1" ht="60">
      <c r="A34" s="48"/>
      <c r="B34" s="45"/>
      <c r="C34" s="38"/>
      <c r="D34" s="31" t="s">
        <v>38</v>
      </c>
      <c r="E34" s="31" t="s">
        <v>68</v>
      </c>
      <c r="F34" s="38" t="str">
        <f t="shared" si="24"/>
        <v/>
      </c>
      <c r="G34" s="34">
        <v>5</v>
      </c>
      <c r="H34" s="34">
        <v>1</v>
      </c>
      <c r="I34" s="34">
        <v>1</v>
      </c>
      <c r="J34" s="35">
        <f t="shared" si="20"/>
        <v>5</v>
      </c>
      <c r="K34" s="35">
        <v>1</v>
      </c>
      <c r="L34" s="41">
        <f t="shared" si="21"/>
        <v>5</v>
      </c>
      <c r="M34" s="42" t="s">
        <v>587</v>
      </c>
      <c r="N34" s="61" t="s">
        <v>673</v>
      </c>
      <c r="O34" s="61" t="s">
        <v>682</v>
      </c>
      <c r="P34" s="37"/>
      <c r="Q34" s="37" t="s">
        <v>679</v>
      </c>
      <c r="R34" s="61"/>
    </row>
    <row r="35" spans="1:18" s="7" customFormat="1" ht="75">
      <c r="A35" s="48"/>
      <c r="B35" s="45"/>
      <c r="C35" s="38"/>
      <c r="D35" s="31" t="s">
        <v>38</v>
      </c>
      <c r="E35" s="31" t="s">
        <v>72</v>
      </c>
      <c r="F35" s="38" t="str">
        <f t="shared" si="24"/>
        <v/>
      </c>
      <c r="G35" s="34">
        <v>5</v>
      </c>
      <c r="H35" s="34">
        <v>5</v>
      </c>
      <c r="I35" s="34">
        <v>5</v>
      </c>
      <c r="J35" s="35">
        <f t="shared" si="20"/>
        <v>5</v>
      </c>
      <c r="K35" s="35">
        <v>1</v>
      </c>
      <c r="L35" s="41">
        <f t="shared" si="21"/>
        <v>5</v>
      </c>
      <c r="M35" s="42" t="s">
        <v>577</v>
      </c>
      <c r="N35" s="61" t="s">
        <v>673</v>
      </c>
      <c r="O35" s="61" t="s">
        <v>683</v>
      </c>
      <c r="P35" s="37"/>
      <c r="Q35" s="37" t="s">
        <v>679</v>
      </c>
      <c r="R35" s="61"/>
    </row>
    <row r="36" spans="1:18" s="7" customFormat="1">
      <c r="A36" s="48"/>
      <c r="B36" s="45"/>
      <c r="C36" s="38"/>
      <c r="D36" s="31"/>
      <c r="E36" s="31"/>
      <c r="F36" s="38"/>
      <c r="G36" s="34"/>
      <c r="H36" s="34"/>
      <c r="I36" s="34"/>
      <c r="J36" s="35"/>
      <c r="K36" s="35"/>
      <c r="L36" s="41"/>
      <c r="M36" s="42"/>
      <c r="N36" s="60"/>
      <c r="O36" s="60"/>
      <c r="P36" s="37"/>
      <c r="Q36" s="37"/>
      <c r="R36" s="60"/>
    </row>
    <row r="37" spans="1:18" s="7" customFormat="1">
      <c r="A37" s="49"/>
      <c r="B37" s="46"/>
      <c r="C37" s="39"/>
      <c r="D37" s="31"/>
      <c r="E37" s="31"/>
      <c r="F37" s="39"/>
      <c r="G37" s="34"/>
      <c r="H37" s="34"/>
      <c r="I37" s="34"/>
      <c r="J37" s="35"/>
      <c r="K37" s="35"/>
      <c r="L37" s="41"/>
      <c r="M37" s="42"/>
      <c r="N37" s="60"/>
      <c r="O37" s="60"/>
      <c r="P37" s="37"/>
      <c r="Q37" s="37"/>
      <c r="R37" s="60"/>
    </row>
    <row r="38" spans="1:18" s="7" customFormat="1" ht="60">
      <c r="A38" s="47">
        <v>4</v>
      </c>
      <c r="B38" s="44" t="s">
        <v>634</v>
      </c>
      <c r="C38" s="37" t="s">
        <v>592</v>
      </c>
      <c r="D38" s="31" t="s">
        <v>112</v>
      </c>
      <c r="E38" s="31" t="s">
        <v>600</v>
      </c>
      <c r="F38" s="37" t="s">
        <v>692</v>
      </c>
      <c r="G38" s="34">
        <v>5</v>
      </c>
      <c r="H38" s="34">
        <v>5</v>
      </c>
      <c r="I38" s="34">
        <v>5</v>
      </c>
      <c r="J38" s="35">
        <f>IF(MAX(G38:I38)=0,"",MAX(G38:I38))</f>
        <v>5</v>
      </c>
      <c r="K38" s="35">
        <v>1</v>
      </c>
      <c r="L38" s="34">
        <f>IFERROR(J38*K38,"")</f>
        <v>5</v>
      </c>
      <c r="M38" s="42" t="s">
        <v>571</v>
      </c>
      <c r="N38" s="61" t="s">
        <v>673</v>
      </c>
      <c r="O38" s="61" t="s">
        <v>686</v>
      </c>
      <c r="P38" s="37" t="s">
        <v>692</v>
      </c>
      <c r="Q38" s="37" t="s">
        <v>668</v>
      </c>
      <c r="R38" s="62">
        <v>43445</v>
      </c>
    </row>
    <row r="39" spans="1:18" s="7" customFormat="1" ht="60">
      <c r="A39" s="48"/>
      <c r="B39" s="45"/>
      <c r="C39" s="38"/>
      <c r="D39" s="31" t="s">
        <v>36</v>
      </c>
      <c r="E39" s="31" t="s">
        <v>67</v>
      </c>
      <c r="F39" s="38" t="str">
        <f>IF($C39&lt;&gt;"",C39,"")</f>
        <v/>
      </c>
      <c r="G39" s="34">
        <v>1</v>
      </c>
      <c r="H39" s="34">
        <v>1</v>
      </c>
      <c r="I39" s="34">
        <v>5</v>
      </c>
      <c r="J39" s="35">
        <f t="shared" ref="J39:J49" si="25">IF(MAX(G39:I39)=0,"",MAX(G39:I39))</f>
        <v>5</v>
      </c>
      <c r="K39" s="35">
        <v>1</v>
      </c>
      <c r="L39" s="34">
        <f t="shared" ref="L39:L49" si="26">IFERROR(J39*K39,"")</f>
        <v>5</v>
      </c>
      <c r="M39" s="42" t="s">
        <v>601</v>
      </c>
      <c r="N39" s="61" t="s">
        <v>673</v>
      </c>
      <c r="O39" s="61" t="s">
        <v>677</v>
      </c>
      <c r="P39" s="37"/>
      <c r="Q39" s="37" t="s">
        <v>679</v>
      </c>
      <c r="R39" s="61"/>
    </row>
    <row r="40" spans="1:18" s="7" customFormat="1" ht="60">
      <c r="A40" s="48"/>
      <c r="B40" s="45"/>
      <c r="C40" s="38"/>
      <c r="D40" s="31" t="s">
        <v>25</v>
      </c>
      <c r="E40" s="31" t="s">
        <v>69</v>
      </c>
      <c r="F40" s="38" t="str">
        <f>IF($C40&lt;&gt;"",C40,"")</f>
        <v/>
      </c>
      <c r="G40" s="34">
        <v>1</v>
      </c>
      <c r="H40" s="34">
        <v>1</v>
      </c>
      <c r="I40" s="34">
        <v>5</v>
      </c>
      <c r="J40" s="35">
        <f t="shared" ref="J40" si="27">IF(MAX(G40:I40)=0,"",MAX(G40:I40))</f>
        <v>5</v>
      </c>
      <c r="K40" s="35">
        <v>1</v>
      </c>
      <c r="L40" s="34">
        <f t="shared" ref="L40" si="28">IFERROR(J40*K40,"")</f>
        <v>5</v>
      </c>
      <c r="M40" s="42" t="s">
        <v>598</v>
      </c>
      <c r="N40" s="61" t="s">
        <v>673</v>
      </c>
      <c r="O40" s="61" t="s">
        <v>677</v>
      </c>
      <c r="P40" s="37"/>
      <c r="Q40" s="37" t="s">
        <v>679</v>
      </c>
      <c r="R40" s="61"/>
    </row>
    <row r="41" spans="1:18" s="7" customFormat="1" ht="60">
      <c r="A41" s="48"/>
      <c r="B41" s="45"/>
      <c r="C41" s="38"/>
      <c r="D41" s="31" t="s">
        <v>25</v>
      </c>
      <c r="E41" s="31" t="s">
        <v>81</v>
      </c>
      <c r="F41" s="38"/>
      <c r="G41" s="34">
        <v>1</v>
      </c>
      <c r="H41" s="34">
        <v>1</v>
      </c>
      <c r="I41" s="34">
        <v>5</v>
      </c>
      <c r="J41" s="35">
        <f t="shared" si="25"/>
        <v>5</v>
      </c>
      <c r="K41" s="35">
        <v>1</v>
      </c>
      <c r="L41" s="34">
        <f t="shared" si="26"/>
        <v>5</v>
      </c>
      <c r="M41" s="42" t="s">
        <v>599</v>
      </c>
      <c r="N41" s="61" t="s">
        <v>673</v>
      </c>
      <c r="O41" s="61" t="s">
        <v>677</v>
      </c>
      <c r="P41" s="37"/>
      <c r="Q41" s="37" t="s">
        <v>679</v>
      </c>
      <c r="R41" s="61"/>
    </row>
    <row r="42" spans="1:18" s="7" customFormat="1" ht="60">
      <c r="A42" s="48"/>
      <c r="B42" s="45"/>
      <c r="C42" s="38"/>
      <c r="D42" s="31" t="s">
        <v>25</v>
      </c>
      <c r="E42" s="31" t="s">
        <v>90</v>
      </c>
      <c r="F42" s="38"/>
      <c r="G42" s="34">
        <v>1</v>
      </c>
      <c r="H42" s="34">
        <v>1</v>
      </c>
      <c r="I42" s="34">
        <v>5</v>
      </c>
      <c r="J42" s="35">
        <f t="shared" si="25"/>
        <v>5</v>
      </c>
      <c r="K42" s="35">
        <v>1</v>
      </c>
      <c r="L42" s="34">
        <f t="shared" si="26"/>
        <v>5</v>
      </c>
      <c r="M42" s="42" t="s">
        <v>572</v>
      </c>
      <c r="N42" s="61" t="s">
        <v>673</v>
      </c>
      <c r="O42" s="61" t="s">
        <v>677</v>
      </c>
      <c r="P42" s="37"/>
      <c r="Q42" s="37" t="s">
        <v>679</v>
      </c>
      <c r="R42" s="61"/>
    </row>
    <row r="43" spans="1:18" s="7" customFormat="1" ht="60">
      <c r="A43" s="48"/>
      <c r="B43" s="45"/>
      <c r="C43" s="38"/>
      <c r="D43" s="31" t="s">
        <v>25</v>
      </c>
      <c r="E43" s="31" t="s">
        <v>91</v>
      </c>
      <c r="F43" s="38"/>
      <c r="G43" s="34">
        <v>1</v>
      </c>
      <c r="H43" s="34">
        <v>1</v>
      </c>
      <c r="I43" s="34">
        <v>5</v>
      </c>
      <c r="J43" s="35">
        <f t="shared" si="25"/>
        <v>5</v>
      </c>
      <c r="K43" s="35">
        <v>1</v>
      </c>
      <c r="L43" s="34">
        <f t="shared" si="26"/>
        <v>5</v>
      </c>
      <c r="M43" s="42" t="s">
        <v>574</v>
      </c>
      <c r="N43" s="61" t="s">
        <v>676</v>
      </c>
      <c r="O43" s="61" t="s">
        <v>677</v>
      </c>
      <c r="P43" s="37"/>
      <c r="Q43" s="37" t="s">
        <v>679</v>
      </c>
      <c r="R43" s="61"/>
    </row>
    <row r="44" spans="1:18" s="7" customFormat="1" ht="60">
      <c r="A44" s="48"/>
      <c r="B44" s="45"/>
      <c r="C44" s="38"/>
      <c r="D44" s="31" t="s">
        <v>27</v>
      </c>
      <c r="E44" s="31" t="s">
        <v>80</v>
      </c>
      <c r="F44" s="38" t="str">
        <f t="shared" ref="F44:F49" si="29">IF($C44&lt;&gt;"",C44,"")</f>
        <v/>
      </c>
      <c r="G44" s="34">
        <v>1</v>
      </c>
      <c r="H44" s="34">
        <v>1</v>
      </c>
      <c r="I44" s="34">
        <v>5</v>
      </c>
      <c r="J44" s="35">
        <f t="shared" si="25"/>
        <v>5</v>
      </c>
      <c r="K44" s="35">
        <v>1</v>
      </c>
      <c r="L44" s="34">
        <f t="shared" si="26"/>
        <v>5</v>
      </c>
      <c r="M44" s="42" t="s">
        <v>602</v>
      </c>
      <c r="N44" s="61" t="s">
        <v>676</v>
      </c>
      <c r="O44" s="61" t="s">
        <v>678</v>
      </c>
      <c r="P44" s="37"/>
      <c r="Q44" s="37" t="s">
        <v>680</v>
      </c>
      <c r="R44" s="61"/>
    </row>
    <row r="45" spans="1:18" s="7" customFormat="1" ht="60">
      <c r="A45" s="48"/>
      <c r="B45" s="45"/>
      <c r="C45" s="38"/>
      <c r="D45" s="31" t="s">
        <v>32</v>
      </c>
      <c r="E45" s="31" t="s">
        <v>91</v>
      </c>
      <c r="F45" s="38" t="str">
        <f t="shared" si="29"/>
        <v/>
      </c>
      <c r="G45" s="34">
        <v>1</v>
      </c>
      <c r="H45" s="34">
        <v>1</v>
      </c>
      <c r="I45" s="34">
        <v>5</v>
      </c>
      <c r="J45" s="35">
        <f t="shared" si="25"/>
        <v>5</v>
      </c>
      <c r="K45" s="35">
        <v>1</v>
      </c>
      <c r="L45" s="34">
        <f t="shared" si="26"/>
        <v>5</v>
      </c>
      <c r="M45" s="42" t="s">
        <v>603</v>
      </c>
      <c r="N45" s="61" t="s">
        <v>676</v>
      </c>
      <c r="O45" s="61" t="s">
        <v>678</v>
      </c>
      <c r="P45" s="37"/>
      <c r="Q45" s="37" t="s">
        <v>680</v>
      </c>
      <c r="R45" s="61"/>
    </row>
    <row r="46" spans="1:18" s="7" customFormat="1" ht="60">
      <c r="A46" s="48"/>
      <c r="B46" s="45"/>
      <c r="C46" s="38"/>
      <c r="D46" s="31" t="s">
        <v>38</v>
      </c>
      <c r="E46" s="31" t="s">
        <v>68</v>
      </c>
      <c r="F46" s="38" t="str">
        <f t="shared" si="29"/>
        <v/>
      </c>
      <c r="G46" s="34">
        <v>5</v>
      </c>
      <c r="H46" s="34">
        <v>1</v>
      </c>
      <c r="I46" s="34">
        <v>1</v>
      </c>
      <c r="J46" s="35">
        <f t="shared" si="25"/>
        <v>5</v>
      </c>
      <c r="K46" s="35">
        <v>1</v>
      </c>
      <c r="L46" s="41">
        <f t="shared" si="26"/>
        <v>5</v>
      </c>
      <c r="M46" s="42" t="s">
        <v>578</v>
      </c>
      <c r="N46" s="61" t="s">
        <v>673</v>
      </c>
      <c r="O46" s="61" t="s">
        <v>682</v>
      </c>
      <c r="P46" s="37"/>
      <c r="Q46" s="37" t="s">
        <v>679</v>
      </c>
      <c r="R46" s="61"/>
    </row>
    <row r="47" spans="1:18" s="7" customFormat="1" ht="75">
      <c r="A47" s="48"/>
      <c r="B47" s="45"/>
      <c r="C47" s="38"/>
      <c r="D47" s="31" t="s">
        <v>38</v>
      </c>
      <c r="E47" s="31" t="s">
        <v>72</v>
      </c>
      <c r="F47" s="38" t="str">
        <f t="shared" si="29"/>
        <v/>
      </c>
      <c r="G47" s="34">
        <v>5</v>
      </c>
      <c r="H47" s="34">
        <v>5</v>
      </c>
      <c r="I47" s="34">
        <v>5</v>
      </c>
      <c r="J47" s="35">
        <f t="shared" si="25"/>
        <v>5</v>
      </c>
      <c r="K47" s="35">
        <v>1</v>
      </c>
      <c r="L47" s="41">
        <f t="shared" si="26"/>
        <v>5</v>
      </c>
      <c r="M47" s="42" t="s">
        <v>577</v>
      </c>
      <c r="N47" s="61" t="s">
        <v>673</v>
      </c>
      <c r="O47" s="61" t="s">
        <v>683</v>
      </c>
      <c r="P47" s="37"/>
      <c r="Q47" s="37" t="s">
        <v>679</v>
      </c>
      <c r="R47" s="61"/>
    </row>
    <row r="48" spans="1:18" s="7" customFormat="1" ht="45">
      <c r="A48" s="48"/>
      <c r="B48" s="45"/>
      <c r="C48" s="38"/>
      <c r="D48" s="31" t="s">
        <v>22</v>
      </c>
      <c r="E48" s="31" t="s">
        <v>68</v>
      </c>
      <c r="F48" s="38" t="str">
        <f t="shared" si="29"/>
        <v/>
      </c>
      <c r="G48" s="34">
        <v>5</v>
      </c>
      <c r="H48" s="34">
        <v>5</v>
      </c>
      <c r="I48" s="34">
        <v>1</v>
      </c>
      <c r="J48" s="35">
        <f t="shared" si="25"/>
        <v>5</v>
      </c>
      <c r="K48" s="35">
        <v>1</v>
      </c>
      <c r="L48" s="41">
        <f t="shared" si="26"/>
        <v>5</v>
      </c>
      <c r="M48" s="42" t="s">
        <v>604</v>
      </c>
      <c r="N48" s="61" t="s">
        <v>673</v>
      </c>
      <c r="O48" s="61" t="s">
        <v>682</v>
      </c>
      <c r="P48" s="37"/>
      <c r="Q48" s="37" t="s">
        <v>679</v>
      </c>
      <c r="R48" s="61"/>
    </row>
    <row r="49" spans="1:18" s="7" customFormat="1" ht="90">
      <c r="A49" s="49"/>
      <c r="B49" s="46"/>
      <c r="C49" s="39"/>
      <c r="D49" s="31" t="s">
        <v>33</v>
      </c>
      <c r="E49" s="31" t="s">
        <v>68</v>
      </c>
      <c r="F49" s="39" t="str">
        <f t="shared" si="29"/>
        <v/>
      </c>
      <c r="G49" s="34">
        <v>5</v>
      </c>
      <c r="H49" s="34">
        <v>5</v>
      </c>
      <c r="I49" s="34">
        <v>1</v>
      </c>
      <c r="J49" s="35">
        <f t="shared" si="25"/>
        <v>5</v>
      </c>
      <c r="K49" s="35">
        <v>1</v>
      </c>
      <c r="L49" s="41">
        <f t="shared" si="26"/>
        <v>5</v>
      </c>
      <c r="M49" s="42" t="s">
        <v>605</v>
      </c>
      <c r="N49" s="61" t="s">
        <v>673</v>
      </c>
      <c r="O49" s="61" t="s">
        <v>682</v>
      </c>
      <c r="P49" s="37"/>
      <c r="Q49" s="37" t="s">
        <v>679</v>
      </c>
      <c r="R49" s="61"/>
    </row>
    <row r="50" spans="1:18" s="7" customFormat="1" ht="69.75" customHeight="1">
      <c r="A50" s="47">
        <v>5</v>
      </c>
      <c r="B50" s="44" t="s">
        <v>228</v>
      </c>
      <c r="C50" s="37" t="s">
        <v>692</v>
      </c>
      <c r="D50" s="31" t="s">
        <v>112</v>
      </c>
      <c r="E50" s="31" t="s">
        <v>600</v>
      </c>
      <c r="F50" s="37" t="s">
        <v>692</v>
      </c>
      <c r="G50" s="34">
        <v>5</v>
      </c>
      <c r="H50" s="34">
        <v>5</v>
      </c>
      <c r="I50" s="34">
        <v>5</v>
      </c>
      <c r="J50" s="35">
        <f>IF(MAX(G50:I50)=0,"",MAX(G50:I50))</f>
        <v>5</v>
      </c>
      <c r="K50" s="35">
        <v>1</v>
      </c>
      <c r="L50" s="34">
        <f>IFERROR(J50*K50,"")</f>
        <v>5</v>
      </c>
      <c r="M50" s="42" t="s">
        <v>571</v>
      </c>
      <c r="N50" s="61" t="s">
        <v>673</v>
      </c>
      <c r="O50" s="61" t="s">
        <v>687</v>
      </c>
      <c r="P50" s="37"/>
      <c r="Q50" s="37" t="s">
        <v>668</v>
      </c>
      <c r="R50" s="62">
        <v>43445</v>
      </c>
    </row>
    <row r="51" spans="1:18" s="7" customFormat="1" ht="60">
      <c r="A51" s="48"/>
      <c r="B51" s="45"/>
      <c r="C51" s="38"/>
      <c r="D51" s="31" t="s">
        <v>36</v>
      </c>
      <c r="E51" s="31" t="s">
        <v>67</v>
      </c>
      <c r="F51" s="38" t="str">
        <f>IF($C51&lt;&gt;"",C51,"")</f>
        <v/>
      </c>
      <c r="G51" s="34">
        <v>1</v>
      </c>
      <c r="H51" s="34">
        <v>1</v>
      </c>
      <c r="I51" s="34">
        <v>5</v>
      </c>
      <c r="J51" s="35">
        <f t="shared" ref="J51:J61" si="30">IF(MAX(G51:I51)=0,"",MAX(G51:I51))</f>
        <v>5</v>
      </c>
      <c r="K51" s="35">
        <v>1</v>
      </c>
      <c r="L51" s="34">
        <f t="shared" ref="L51:L61" si="31">IFERROR(J51*K51,"")</f>
        <v>5</v>
      </c>
      <c r="M51" s="42" t="s">
        <v>606</v>
      </c>
      <c r="N51" s="61" t="s">
        <v>673</v>
      </c>
      <c r="O51" s="61" t="s">
        <v>677</v>
      </c>
      <c r="P51" s="37"/>
      <c r="Q51" s="37" t="s">
        <v>679</v>
      </c>
      <c r="R51" s="61"/>
    </row>
    <row r="52" spans="1:18" s="7" customFormat="1" ht="60">
      <c r="A52" s="48"/>
      <c r="B52" s="45"/>
      <c r="C52" s="38"/>
      <c r="D52" s="31" t="s">
        <v>25</v>
      </c>
      <c r="E52" s="31" t="s">
        <v>69</v>
      </c>
      <c r="F52" s="38" t="str">
        <f>IF($C52&lt;&gt;"",C52,"")</f>
        <v/>
      </c>
      <c r="G52" s="34">
        <v>1</v>
      </c>
      <c r="H52" s="34">
        <v>1</v>
      </c>
      <c r="I52" s="34">
        <v>5</v>
      </c>
      <c r="J52" s="35">
        <f t="shared" si="30"/>
        <v>5</v>
      </c>
      <c r="K52" s="35">
        <v>1</v>
      </c>
      <c r="L52" s="34">
        <f t="shared" si="31"/>
        <v>5</v>
      </c>
      <c r="M52" s="42" t="s">
        <v>607</v>
      </c>
      <c r="N52" s="61" t="s">
        <v>673</v>
      </c>
      <c r="O52" s="61" t="s">
        <v>677</v>
      </c>
      <c r="P52" s="37"/>
      <c r="Q52" s="37" t="s">
        <v>679</v>
      </c>
      <c r="R52" s="61"/>
    </row>
    <row r="53" spans="1:18" s="7" customFormat="1" ht="60">
      <c r="A53" s="48"/>
      <c r="B53" s="45"/>
      <c r="C53" s="38"/>
      <c r="D53" s="31" t="s">
        <v>25</v>
      </c>
      <c r="E53" s="31" t="s">
        <v>81</v>
      </c>
      <c r="F53" s="38"/>
      <c r="G53" s="34">
        <v>1</v>
      </c>
      <c r="H53" s="34">
        <v>1</v>
      </c>
      <c r="I53" s="34">
        <v>5</v>
      </c>
      <c r="J53" s="35">
        <f t="shared" si="30"/>
        <v>5</v>
      </c>
      <c r="K53" s="35">
        <v>1</v>
      </c>
      <c r="L53" s="34">
        <f t="shared" si="31"/>
        <v>5</v>
      </c>
      <c r="M53" s="42" t="s">
        <v>608</v>
      </c>
      <c r="N53" s="61" t="s">
        <v>673</v>
      </c>
      <c r="O53" s="61" t="s">
        <v>677</v>
      </c>
      <c r="P53" s="37"/>
      <c r="Q53" s="37" t="s">
        <v>679</v>
      </c>
      <c r="R53" s="61"/>
    </row>
    <row r="54" spans="1:18" s="7" customFormat="1" ht="60">
      <c r="A54" s="48"/>
      <c r="B54" s="45"/>
      <c r="C54" s="38"/>
      <c r="D54" s="31" t="s">
        <v>25</v>
      </c>
      <c r="E54" s="31" t="s">
        <v>90</v>
      </c>
      <c r="F54" s="38"/>
      <c r="G54" s="34">
        <v>1</v>
      </c>
      <c r="H54" s="34">
        <v>1</v>
      </c>
      <c r="I54" s="34">
        <v>5</v>
      </c>
      <c r="J54" s="35">
        <f t="shared" si="30"/>
        <v>5</v>
      </c>
      <c r="K54" s="35">
        <v>1</v>
      </c>
      <c r="L54" s="34">
        <f t="shared" si="31"/>
        <v>5</v>
      </c>
      <c r="M54" s="42" t="s">
        <v>609</v>
      </c>
      <c r="N54" s="61" t="s">
        <v>673</v>
      </c>
      <c r="O54" s="61" t="s">
        <v>677</v>
      </c>
      <c r="P54" s="37"/>
      <c r="Q54" s="37" t="s">
        <v>679</v>
      </c>
      <c r="R54" s="61"/>
    </row>
    <row r="55" spans="1:18" s="7" customFormat="1" ht="60">
      <c r="A55" s="48"/>
      <c r="B55" s="45"/>
      <c r="C55" s="38"/>
      <c r="D55" s="31" t="s">
        <v>25</v>
      </c>
      <c r="E55" s="31" t="s">
        <v>91</v>
      </c>
      <c r="F55" s="38"/>
      <c r="G55" s="34">
        <v>1</v>
      </c>
      <c r="H55" s="34">
        <v>1</v>
      </c>
      <c r="I55" s="34">
        <v>5</v>
      </c>
      <c r="J55" s="35">
        <f t="shared" si="30"/>
        <v>5</v>
      </c>
      <c r="K55" s="35">
        <v>1</v>
      </c>
      <c r="L55" s="34">
        <f t="shared" si="31"/>
        <v>5</v>
      </c>
      <c r="M55" s="42" t="s">
        <v>574</v>
      </c>
      <c r="N55" s="61" t="s">
        <v>673</v>
      </c>
      <c r="O55" s="61" t="s">
        <v>677</v>
      </c>
      <c r="P55" s="37"/>
      <c r="Q55" s="37" t="s">
        <v>679</v>
      </c>
      <c r="R55" s="60"/>
    </row>
    <row r="56" spans="1:18" s="7" customFormat="1" ht="60">
      <c r="A56" s="48"/>
      <c r="B56" s="45"/>
      <c r="C56" s="38"/>
      <c r="D56" s="31" t="s">
        <v>27</v>
      </c>
      <c r="E56" s="31" t="s">
        <v>80</v>
      </c>
      <c r="F56" s="38" t="str">
        <f t="shared" ref="F56:F61" si="32">IF($C56&lt;&gt;"",C56,"")</f>
        <v/>
      </c>
      <c r="G56" s="34">
        <v>1</v>
      </c>
      <c r="H56" s="34">
        <v>1</v>
      </c>
      <c r="I56" s="34">
        <v>5</v>
      </c>
      <c r="J56" s="35">
        <f t="shared" si="30"/>
        <v>5</v>
      </c>
      <c r="K56" s="35">
        <v>1</v>
      </c>
      <c r="L56" s="34">
        <f t="shared" si="31"/>
        <v>5</v>
      </c>
      <c r="M56" s="42" t="s">
        <v>602</v>
      </c>
      <c r="N56" s="61" t="s">
        <v>676</v>
      </c>
      <c r="O56" s="61" t="s">
        <v>678</v>
      </c>
      <c r="P56" s="37"/>
      <c r="Q56" s="37" t="s">
        <v>680</v>
      </c>
      <c r="R56" s="61"/>
    </row>
    <row r="57" spans="1:18" s="7" customFormat="1" ht="60">
      <c r="A57" s="48"/>
      <c r="B57" s="45"/>
      <c r="C57" s="38"/>
      <c r="D57" s="31" t="s">
        <v>32</v>
      </c>
      <c r="E57" s="31" t="s">
        <v>91</v>
      </c>
      <c r="F57" s="38" t="str">
        <f t="shared" si="32"/>
        <v/>
      </c>
      <c r="G57" s="34">
        <v>1</v>
      </c>
      <c r="H57" s="34">
        <v>1</v>
      </c>
      <c r="I57" s="34">
        <v>5</v>
      </c>
      <c r="J57" s="35">
        <f t="shared" si="30"/>
        <v>5</v>
      </c>
      <c r="K57" s="35">
        <v>1</v>
      </c>
      <c r="L57" s="34">
        <f t="shared" si="31"/>
        <v>5</v>
      </c>
      <c r="M57" s="42" t="s">
        <v>603</v>
      </c>
      <c r="N57" s="61" t="s">
        <v>676</v>
      </c>
      <c r="O57" s="61" t="s">
        <v>678</v>
      </c>
      <c r="P57" s="37"/>
      <c r="Q57" s="37" t="s">
        <v>680</v>
      </c>
      <c r="R57" s="61"/>
    </row>
    <row r="58" spans="1:18" s="7" customFormat="1" ht="45">
      <c r="A58" s="48"/>
      <c r="B58" s="45"/>
      <c r="C58" s="38"/>
      <c r="D58" s="31" t="s">
        <v>19</v>
      </c>
      <c r="E58" s="31" t="s">
        <v>70</v>
      </c>
      <c r="F58" s="38" t="str">
        <f t="shared" si="32"/>
        <v/>
      </c>
      <c r="G58" s="34">
        <v>1</v>
      </c>
      <c r="H58" s="34">
        <v>1</v>
      </c>
      <c r="I58" s="34">
        <v>5</v>
      </c>
      <c r="J58" s="35">
        <f t="shared" ref="J58" si="33">IF(MAX(G58:I58)=0,"",MAX(G58:I58))</f>
        <v>5</v>
      </c>
      <c r="K58" s="35">
        <v>1</v>
      </c>
      <c r="L58" s="34">
        <f t="shared" ref="L58" si="34">IFERROR(J58*K58,"")</f>
        <v>5</v>
      </c>
      <c r="M58" s="42" t="s">
        <v>610</v>
      </c>
      <c r="N58" s="61" t="s">
        <v>673</v>
      </c>
      <c r="O58" s="61" t="s">
        <v>688</v>
      </c>
      <c r="P58" s="37"/>
      <c r="Q58" s="37" t="s">
        <v>670</v>
      </c>
      <c r="R58" s="61"/>
    </row>
    <row r="59" spans="1:18" s="7" customFormat="1" ht="60">
      <c r="A59" s="48"/>
      <c r="B59" s="45"/>
      <c r="C59" s="38"/>
      <c r="D59" s="31" t="s">
        <v>36</v>
      </c>
      <c r="E59" s="31" t="s">
        <v>67</v>
      </c>
      <c r="F59" s="38" t="str">
        <f t="shared" si="32"/>
        <v/>
      </c>
      <c r="G59" s="34">
        <v>1</v>
      </c>
      <c r="H59" s="34">
        <v>1</v>
      </c>
      <c r="I59" s="34">
        <v>5</v>
      </c>
      <c r="J59" s="35">
        <f t="shared" ref="J59" si="35">IF(MAX(G59:I59)=0,"",MAX(G59:I59))</f>
        <v>5</v>
      </c>
      <c r="K59" s="35">
        <v>1</v>
      </c>
      <c r="L59" s="41">
        <f t="shared" si="31"/>
        <v>5</v>
      </c>
      <c r="M59" s="42" t="s">
        <v>611</v>
      </c>
      <c r="N59" s="61" t="s">
        <v>673</v>
      </c>
      <c r="O59" s="61" t="s">
        <v>677</v>
      </c>
      <c r="P59" s="37"/>
      <c r="Q59" s="37" t="s">
        <v>679</v>
      </c>
      <c r="R59" s="61"/>
    </row>
    <row r="60" spans="1:18" s="7" customFormat="1" ht="60">
      <c r="A60" s="48"/>
      <c r="B60" s="45"/>
      <c r="C60" s="38"/>
      <c r="D60" s="31" t="s">
        <v>50</v>
      </c>
      <c r="E60" s="30" t="s">
        <v>72</v>
      </c>
      <c r="F60" s="38" t="str">
        <f t="shared" si="32"/>
        <v/>
      </c>
      <c r="G60" s="34">
        <v>1</v>
      </c>
      <c r="H60" s="34">
        <v>1</v>
      </c>
      <c r="I60" s="34">
        <v>5</v>
      </c>
      <c r="J60" s="35">
        <f t="shared" ref="J60" si="36">IF(MAX(G60:I60)=0,"",MAX(G60:I60))</f>
        <v>5</v>
      </c>
      <c r="K60" s="35">
        <v>1</v>
      </c>
      <c r="L60" s="41">
        <f t="shared" si="31"/>
        <v>5</v>
      </c>
      <c r="M60" s="42" t="s">
        <v>612</v>
      </c>
      <c r="N60" s="61" t="s">
        <v>673</v>
      </c>
      <c r="O60" s="61" t="s">
        <v>683</v>
      </c>
      <c r="P60" s="37"/>
      <c r="Q60" s="37" t="s">
        <v>679</v>
      </c>
      <c r="R60" s="61"/>
    </row>
    <row r="61" spans="1:18" s="7" customFormat="1">
      <c r="A61" s="49"/>
      <c r="B61" s="46"/>
      <c r="C61" s="39"/>
      <c r="D61" s="31"/>
      <c r="E61" s="31"/>
      <c r="F61" s="39" t="str">
        <f t="shared" si="32"/>
        <v/>
      </c>
      <c r="G61" s="34"/>
      <c r="H61" s="34"/>
      <c r="I61" s="34"/>
      <c r="J61" s="35" t="str">
        <f t="shared" si="30"/>
        <v/>
      </c>
      <c r="K61" s="35"/>
      <c r="L61" s="41" t="str">
        <f t="shared" si="31"/>
        <v/>
      </c>
      <c r="M61" s="42"/>
      <c r="N61" s="60"/>
      <c r="O61" s="60"/>
      <c r="P61" s="37"/>
      <c r="Q61" s="37"/>
      <c r="R61" s="60"/>
    </row>
    <row r="62" spans="1:18" s="7" customFormat="1" ht="69.75" customHeight="1">
      <c r="A62" s="47">
        <v>6</v>
      </c>
      <c r="B62" s="44" t="s">
        <v>557</v>
      </c>
      <c r="C62" s="37" t="s">
        <v>692</v>
      </c>
      <c r="D62" s="31" t="s">
        <v>112</v>
      </c>
      <c r="E62" s="31" t="s">
        <v>600</v>
      </c>
      <c r="F62" s="37" t="s">
        <v>692</v>
      </c>
      <c r="G62" s="34">
        <v>5</v>
      </c>
      <c r="H62" s="34">
        <v>5</v>
      </c>
      <c r="I62" s="34">
        <v>5</v>
      </c>
      <c r="J62" s="35">
        <f>IF(MAX(G62:I62)=0,"",MAX(G62:I62))</f>
        <v>5</v>
      </c>
      <c r="K62" s="35">
        <v>1</v>
      </c>
      <c r="L62" s="34">
        <f>IFERROR(J62*K62,"")</f>
        <v>5</v>
      </c>
      <c r="M62" s="42" t="s">
        <v>571</v>
      </c>
      <c r="N62" s="61" t="s">
        <v>673</v>
      </c>
      <c r="O62" s="61" t="s">
        <v>687</v>
      </c>
      <c r="P62" s="37"/>
      <c r="Q62" s="37" t="s">
        <v>668</v>
      </c>
      <c r="R62" s="62">
        <v>43445</v>
      </c>
    </row>
    <row r="63" spans="1:18" s="7" customFormat="1" ht="60">
      <c r="A63" s="48"/>
      <c r="B63" s="45"/>
      <c r="C63" s="38"/>
      <c r="D63" s="31" t="s">
        <v>36</v>
      </c>
      <c r="E63" s="31" t="s">
        <v>67</v>
      </c>
      <c r="F63" s="38" t="str">
        <f>IF($C63&lt;&gt;"",C63,"")</f>
        <v/>
      </c>
      <c r="G63" s="34">
        <v>1</v>
      </c>
      <c r="H63" s="34">
        <v>1</v>
      </c>
      <c r="I63" s="34">
        <v>5</v>
      </c>
      <c r="J63" s="35">
        <f t="shared" ref="J63:J73" si="37">IF(MAX(G63:I63)=0,"",MAX(G63:I63))</f>
        <v>5</v>
      </c>
      <c r="K63" s="35">
        <v>1</v>
      </c>
      <c r="L63" s="34">
        <f t="shared" ref="L63:L73" si="38">IFERROR(J63*K63,"")</f>
        <v>5</v>
      </c>
      <c r="M63" s="42" t="s">
        <v>613</v>
      </c>
      <c r="N63" s="61" t="s">
        <v>673</v>
      </c>
      <c r="O63" s="60" t="s">
        <v>677</v>
      </c>
      <c r="P63" s="37"/>
      <c r="Q63" s="37" t="s">
        <v>679</v>
      </c>
      <c r="R63" s="60"/>
    </row>
    <row r="64" spans="1:18" s="7" customFormat="1" ht="60">
      <c r="A64" s="48"/>
      <c r="B64" s="45"/>
      <c r="C64" s="38"/>
      <c r="D64" s="31" t="s">
        <v>25</v>
      </c>
      <c r="E64" s="31" t="s">
        <v>69</v>
      </c>
      <c r="F64" s="38" t="str">
        <f>IF($C64&lt;&gt;"",C64,"")</f>
        <v/>
      </c>
      <c r="G64" s="34">
        <v>1</v>
      </c>
      <c r="H64" s="34">
        <v>1</v>
      </c>
      <c r="I64" s="34">
        <v>5</v>
      </c>
      <c r="J64" s="35">
        <f t="shared" si="37"/>
        <v>5</v>
      </c>
      <c r="K64" s="35">
        <v>1</v>
      </c>
      <c r="L64" s="34">
        <f t="shared" si="38"/>
        <v>5</v>
      </c>
      <c r="M64" s="42" t="s">
        <v>616</v>
      </c>
      <c r="N64" s="61" t="s">
        <v>673</v>
      </c>
      <c r="O64" s="60" t="s">
        <v>677</v>
      </c>
      <c r="P64" s="37"/>
      <c r="Q64" s="37" t="s">
        <v>679</v>
      </c>
      <c r="R64" s="60"/>
    </row>
    <row r="65" spans="1:18" s="7" customFormat="1" ht="60">
      <c r="A65" s="48"/>
      <c r="B65" s="45"/>
      <c r="C65" s="38"/>
      <c r="D65" s="31" t="s">
        <v>25</v>
      </c>
      <c r="E65" s="31" t="s">
        <v>81</v>
      </c>
      <c r="F65" s="38"/>
      <c r="G65" s="34">
        <v>1</v>
      </c>
      <c r="H65" s="34">
        <v>1</v>
      </c>
      <c r="I65" s="34">
        <v>5</v>
      </c>
      <c r="J65" s="35">
        <f t="shared" si="37"/>
        <v>5</v>
      </c>
      <c r="K65" s="35">
        <v>1</v>
      </c>
      <c r="L65" s="34">
        <f t="shared" si="38"/>
        <v>5</v>
      </c>
      <c r="M65" s="42" t="s">
        <v>614</v>
      </c>
      <c r="N65" s="61" t="s">
        <v>673</v>
      </c>
      <c r="O65" s="60" t="s">
        <v>677</v>
      </c>
      <c r="P65" s="37"/>
      <c r="Q65" s="37" t="s">
        <v>679</v>
      </c>
      <c r="R65" s="60"/>
    </row>
    <row r="66" spans="1:18" s="7" customFormat="1" ht="60">
      <c r="A66" s="48"/>
      <c r="B66" s="45"/>
      <c r="C66" s="38"/>
      <c r="D66" s="31" t="s">
        <v>25</v>
      </c>
      <c r="E66" s="31" t="s">
        <v>90</v>
      </c>
      <c r="F66" s="38"/>
      <c r="G66" s="34">
        <v>1</v>
      </c>
      <c r="H66" s="34">
        <v>1</v>
      </c>
      <c r="I66" s="34">
        <v>5</v>
      </c>
      <c r="J66" s="35">
        <f t="shared" si="37"/>
        <v>5</v>
      </c>
      <c r="K66" s="35">
        <v>1</v>
      </c>
      <c r="L66" s="34">
        <f t="shared" si="38"/>
        <v>5</v>
      </c>
      <c r="M66" s="42" t="s">
        <v>615</v>
      </c>
      <c r="N66" s="61" t="s">
        <v>673</v>
      </c>
      <c r="O66" s="60" t="s">
        <v>677</v>
      </c>
      <c r="P66" s="37"/>
      <c r="Q66" s="37" t="s">
        <v>679</v>
      </c>
      <c r="R66" s="60"/>
    </row>
    <row r="67" spans="1:18" s="7" customFormat="1" ht="60">
      <c r="A67" s="48"/>
      <c r="B67" s="45"/>
      <c r="C67" s="38"/>
      <c r="D67" s="31" t="s">
        <v>25</v>
      </c>
      <c r="E67" s="31" t="s">
        <v>91</v>
      </c>
      <c r="F67" s="38"/>
      <c r="G67" s="34">
        <v>1</v>
      </c>
      <c r="H67" s="34">
        <v>1</v>
      </c>
      <c r="I67" s="34">
        <v>5</v>
      </c>
      <c r="J67" s="35">
        <f t="shared" si="37"/>
        <v>5</v>
      </c>
      <c r="K67" s="35">
        <v>1</v>
      </c>
      <c r="L67" s="34">
        <f t="shared" si="38"/>
        <v>5</v>
      </c>
      <c r="M67" s="42" t="s">
        <v>574</v>
      </c>
      <c r="N67" s="61" t="s">
        <v>673</v>
      </c>
      <c r="O67" s="60" t="s">
        <v>677</v>
      </c>
      <c r="P67" s="37"/>
      <c r="Q67" s="37" t="s">
        <v>679</v>
      </c>
      <c r="R67" s="60"/>
    </row>
    <row r="68" spans="1:18" s="7" customFormat="1" ht="60">
      <c r="A68" s="48"/>
      <c r="B68" s="45"/>
      <c r="C68" s="38"/>
      <c r="D68" s="31" t="s">
        <v>27</v>
      </c>
      <c r="E68" s="31" t="s">
        <v>80</v>
      </c>
      <c r="F68" s="38" t="str">
        <f t="shared" ref="F68:F73" si="39">IF($C68&lt;&gt;"",C68,"")</f>
        <v/>
      </c>
      <c r="G68" s="34">
        <v>1</v>
      </c>
      <c r="H68" s="34">
        <v>1</v>
      </c>
      <c r="I68" s="34">
        <v>5</v>
      </c>
      <c r="J68" s="35">
        <f t="shared" si="37"/>
        <v>5</v>
      </c>
      <c r="K68" s="35">
        <v>1</v>
      </c>
      <c r="L68" s="34">
        <f t="shared" si="38"/>
        <v>5</v>
      </c>
      <c r="M68" s="42" t="s">
        <v>602</v>
      </c>
      <c r="N68" s="61" t="s">
        <v>676</v>
      </c>
      <c r="O68" s="61" t="s">
        <v>678</v>
      </c>
      <c r="P68" s="37"/>
      <c r="Q68" s="37" t="s">
        <v>680</v>
      </c>
      <c r="R68" s="61"/>
    </row>
    <row r="69" spans="1:18" s="7" customFormat="1" ht="60">
      <c r="A69" s="48"/>
      <c r="B69" s="45"/>
      <c r="C69" s="38"/>
      <c r="D69" s="31" t="s">
        <v>32</v>
      </c>
      <c r="E69" s="31" t="s">
        <v>91</v>
      </c>
      <c r="F69" s="38" t="str">
        <f t="shared" si="39"/>
        <v/>
      </c>
      <c r="G69" s="34">
        <v>1</v>
      </c>
      <c r="H69" s="34">
        <v>1</v>
      </c>
      <c r="I69" s="34">
        <v>5</v>
      </c>
      <c r="J69" s="35">
        <f t="shared" si="37"/>
        <v>5</v>
      </c>
      <c r="K69" s="35">
        <v>1</v>
      </c>
      <c r="L69" s="34">
        <f t="shared" si="38"/>
        <v>5</v>
      </c>
      <c r="M69" s="42" t="s">
        <v>603</v>
      </c>
      <c r="N69" s="61" t="s">
        <v>676</v>
      </c>
      <c r="O69" s="61" t="s">
        <v>678</v>
      </c>
      <c r="P69" s="37"/>
      <c r="Q69" s="37" t="s">
        <v>680</v>
      </c>
      <c r="R69" s="61"/>
    </row>
    <row r="70" spans="1:18" s="7" customFormat="1" ht="45">
      <c r="A70" s="48"/>
      <c r="B70" s="45"/>
      <c r="C70" s="38"/>
      <c r="D70" s="31" t="s">
        <v>19</v>
      </c>
      <c r="E70" s="31" t="s">
        <v>70</v>
      </c>
      <c r="F70" s="38" t="str">
        <f t="shared" si="39"/>
        <v/>
      </c>
      <c r="G70" s="34">
        <v>1</v>
      </c>
      <c r="H70" s="34">
        <v>1</v>
      </c>
      <c r="I70" s="34">
        <v>5</v>
      </c>
      <c r="J70" s="35">
        <f t="shared" si="37"/>
        <v>5</v>
      </c>
      <c r="K70" s="35">
        <v>1</v>
      </c>
      <c r="L70" s="34">
        <f t="shared" si="38"/>
        <v>5</v>
      </c>
      <c r="M70" s="42" t="s">
        <v>610</v>
      </c>
      <c r="N70" s="61" t="s">
        <v>673</v>
      </c>
      <c r="O70" s="60" t="s">
        <v>689</v>
      </c>
      <c r="P70" s="37" t="s">
        <v>692</v>
      </c>
      <c r="Q70" s="37" t="s">
        <v>670</v>
      </c>
      <c r="R70" s="62">
        <v>43445</v>
      </c>
    </row>
    <row r="71" spans="1:18" s="7" customFormat="1" ht="45">
      <c r="A71" s="48"/>
      <c r="B71" s="45"/>
      <c r="C71" s="38"/>
      <c r="D71" s="31" t="s">
        <v>36</v>
      </c>
      <c r="E71" s="31" t="s">
        <v>67</v>
      </c>
      <c r="F71" s="38" t="str">
        <f t="shared" si="39"/>
        <v/>
      </c>
      <c r="G71" s="34">
        <v>1</v>
      </c>
      <c r="H71" s="34">
        <v>1</v>
      </c>
      <c r="I71" s="34">
        <v>5</v>
      </c>
      <c r="J71" s="35">
        <f t="shared" si="37"/>
        <v>5</v>
      </c>
      <c r="K71" s="35">
        <v>1</v>
      </c>
      <c r="L71" s="41">
        <f t="shared" si="38"/>
        <v>5</v>
      </c>
      <c r="M71" s="42" t="s">
        <v>611</v>
      </c>
      <c r="N71" s="61" t="s">
        <v>673</v>
      </c>
      <c r="O71" s="61" t="s">
        <v>672</v>
      </c>
      <c r="P71" s="37"/>
      <c r="Q71" s="37" t="s">
        <v>679</v>
      </c>
      <c r="R71" s="61"/>
    </row>
    <row r="72" spans="1:18" s="7" customFormat="1" ht="60">
      <c r="A72" s="48"/>
      <c r="B72" s="45"/>
      <c r="C72" s="38"/>
      <c r="D72" s="31" t="s">
        <v>50</v>
      </c>
      <c r="E72" s="30" t="s">
        <v>72</v>
      </c>
      <c r="F72" s="38" t="str">
        <f t="shared" si="39"/>
        <v/>
      </c>
      <c r="G72" s="34">
        <v>1</v>
      </c>
      <c r="H72" s="34">
        <v>1</v>
      </c>
      <c r="I72" s="34">
        <v>5</v>
      </c>
      <c r="J72" s="35">
        <f t="shared" si="37"/>
        <v>5</v>
      </c>
      <c r="K72" s="35">
        <v>1</v>
      </c>
      <c r="L72" s="41">
        <f t="shared" si="38"/>
        <v>5</v>
      </c>
      <c r="M72" s="42" t="s">
        <v>612</v>
      </c>
      <c r="N72" s="61" t="s">
        <v>673</v>
      </c>
      <c r="O72" s="61" t="s">
        <v>683</v>
      </c>
      <c r="P72" s="37"/>
      <c r="Q72" s="37" t="s">
        <v>679</v>
      </c>
      <c r="R72" s="61"/>
    </row>
    <row r="73" spans="1:18" s="7" customFormat="1">
      <c r="A73" s="49"/>
      <c r="B73" s="46"/>
      <c r="C73" s="39"/>
      <c r="D73" s="31"/>
      <c r="E73" s="31"/>
      <c r="F73" s="39" t="str">
        <f t="shared" si="39"/>
        <v/>
      </c>
      <c r="G73" s="34"/>
      <c r="H73" s="34"/>
      <c r="I73" s="34"/>
      <c r="J73" s="35" t="str">
        <f t="shared" si="37"/>
        <v/>
      </c>
      <c r="K73" s="35"/>
      <c r="L73" s="41" t="str">
        <f t="shared" si="38"/>
        <v/>
      </c>
      <c r="M73" s="42"/>
      <c r="N73" s="61"/>
      <c r="O73" s="61"/>
      <c r="P73" s="37"/>
      <c r="Q73" s="37"/>
      <c r="R73" s="61"/>
    </row>
    <row r="74" spans="1:18" s="7" customFormat="1" ht="69.75" customHeight="1">
      <c r="A74" s="47">
        <v>7</v>
      </c>
      <c r="B74" s="44" t="s">
        <v>229</v>
      </c>
      <c r="C74" s="37" t="s">
        <v>692</v>
      </c>
      <c r="D74" s="31" t="s">
        <v>112</v>
      </c>
      <c r="E74" s="31" t="s">
        <v>600</v>
      </c>
      <c r="F74" s="37" t="s">
        <v>692</v>
      </c>
      <c r="G74" s="34">
        <v>5</v>
      </c>
      <c r="H74" s="34">
        <v>5</v>
      </c>
      <c r="I74" s="34">
        <v>5</v>
      </c>
      <c r="J74" s="35">
        <f>IF(MAX(G74:I74)=0,"",MAX(G74:I74))</f>
        <v>5</v>
      </c>
      <c r="K74" s="35">
        <v>1</v>
      </c>
      <c r="L74" s="34">
        <f>IFERROR(J74*K74,"")</f>
        <v>5</v>
      </c>
      <c r="M74" s="42" t="s">
        <v>571</v>
      </c>
      <c r="N74" s="61" t="s">
        <v>673</v>
      </c>
      <c r="O74" s="61" t="s">
        <v>687</v>
      </c>
      <c r="P74" s="37" t="s">
        <v>692</v>
      </c>
      <c r="Q74" s="37" t="s">
        <v>668</v>
      </c>
      <c r="R74" s="62">
        <v>43445</v>
      </c>
    </row>
    <row r="75" spans="1:18" s="7" customFormat="1" ht="60">
      <c r="A75" s="48"/>
      <c r="B75" s="45"/>
      <c r="C75" s="38"/>
      <c r="D75" s="31" t="s">
        <v>36</v>
      </c>
      <c r="E75" s="31" t="s">
        <v>67</v>
      </c>
      <c r="F75" s="38" t="str">
        <f>IF($C75&lt;&gt;"",C75,"")</f>
        <v/>
      </c>
      <c r="G75" s="34">
        <v>1</v>
      </c>
      <c r="H75" s="34">
        <v>1</v>
      </c>
      <c r="I75" s="34">
        <v>5</v>
      </c>
      <c r="J75" s="35">
        <f t="shared" ref="J75:J85" si="40">IF(MAX(G75:I75)=0,"",MAX(G75:I75))</f>
        <v>5</v>
      </c>
      <c r="K75" s="35">
        <v>1</v>
      </c>
      <c r="L75" s="34">
        <f t="shared" ref="L75:L85" si="41">IFERROR(J75*K75,"")</f>
        <v>5</v>
      </c>
      <c r="M75" s="42" t="s">
        <v>613</v>
      </c>
      <c r="N75" s="61" t="s">
        <v>673</v>
      </c>
      <c r="O75" s="61" t="s">
        <v>672</v>
      </c>
      <c r="P75" s="37"/>
      <c r="Q75" s="37" t="s">
        <v>679</v>
      </c>
      <c r="R75" s="61"/>
    </row>
    <row r="76" spans="1:18" s="7" customFormat="1" ht="60">
      <c r="A76" s="48"/>
      <c r="B76" s="45"/>
      <c r="C76" s="38"/>
      <c r="D76" s="31" t="s">
        <v>25</v>
      </c>
      <c r="E76" s="31" t="s">
        <v>69</v>
      </c>
      <c r="F76" s="38" t="str">
        <f>IF($C76&lt;&gt;"",C76,"")</f>
        <v/>
      </c>
      <c r="G76" s="34">
        <v>1</v>
      </c>
      <c r="H76" s="34">
        <v>1</v>
      </c>
      <c r="I76" s="34">
        <v>5</v>
      </c>
      <c r="J76" s="35">
        <f t="shared" si="40"/>
        <v>5</v>
      </c>
      <c r="K76" s="35">
        <v>1</v>
      </c>
      <c r="L76" s="34">
        <f t="shared" si="41"/>
        <v>5</v>
      </c>
      <c r="M76" s="42" t="s">
        <v>616</v>
      </c>
      <c r="N76" s="61" t="s">
        <v>673</v>
      </c>
      <c r="O76" s="60" t="s">
        <v>677</v>
      </c>
      <c r="P76" s="37"/>
      <c r="Q76" s="37" t="s">
        <v>679</v>
      </c>
      <c r="R76" s="60"/>
    </row>
    <row r="77" spans="1:18" s="7" customFormat="1" ht="60">
      <c r="A77" s="48"/>
      <c r="B77" s="45"/>
      <c r="C77" s="38"/>
      <c r="D77" s="31" t="s">
        <v>25</v>
      </c>
      <c r="E77" s="31" t="s">
        <v>81</v>
      </c>
      <c r="F77" s="38"/>
      <c r="G77" s="34">
        <v>1</v>
      </c>
      <c r="H77" s="34">
        <v>1</v>
      </c>
      <c r="I77" s="34">
        <v>5</v>
      </c>
      <c r="J77" s="35">
        <f t="shared" si="40"/>
        <v>5</v>
      </c>
      <c r="K77" s="35">
        <v>1</v>
      </c>
      <c r="L77" s="34">
        <f t="shared" si="41"/>
        <v>5</v>
      </c>
      <c r="M77" s="42" t="s">
        <v>614</v>
      </c>
      <c r="N77" s="61" t="s">
        <v>673</v>
      </c>
      <c r="O77" s="60" t="s">
        <v>677</v>
      </c>
      <c r="P77" s="37"/>
      <c r="Q77" s="37" t="s">
        <v>679</v>
      </c>
      <c r="R77" s="60"/>
    </row>
    <row r="78" spans="1:18" s="7" customFormat="1" ht="60">
      <c r="A78" s="48"/>
      <c r="B78" s="45"/>
      <c r="C78" s="38"/>
      <c r="D78" s="31" t="s">
        <v>25</v>
      </c>
      <c r="E78" s="31" t="s">
        <v>90</v>
      </c>
      <c r="F78" s="38"/>
      <c r="G78" s="34">
        <v>1</v>
      </c>
      <c r="H78" s="34">
        <v>1</v>
      </c>
      <c r="I78" s="34">
        <v>5</v>
      </c>
      <c r="J78" s="35">
        <f t="shared" si="40"/>
        <v>5</v>
      </c>
      <c r="K78" s="35">
        <v>1</v>
      </c>
      <c r="L78" s="34">
        <f t="shared" si="41"/>
        <v>5</v>
      </c>
      <c r="M78" s="42" t="s">
        <v>609</v>
      </c>
      <c r="N78" s="61" t="s">
        <v>673</v>
      </c>
      <c r="O78" s="60" t="s">
        <v>677</v>
      </c>
      <c r="P78" s="37"/>
      <c r="Q78" s="37" t="s">
        <v>679</v>
      </c>
      <c r="R78" s="60"/>
    </row>
    <row r="79" spans="1:18" s="7" customFormat="1" ht="60">
      <c r="A79" s="48"/>
      <c r="B79" s="45"/>
      <c r="C79" s="38"/>
      <c r="D79" s="31" t="s">
        <v>25</v>
      </c>
      <c r="E79" s="31" t="s">
        <v>91</v>
      </c>
      <c r="F79" s="38"/>
      <c r="G79" s="34">
        <v>1</v>
      </c>
      <c r="H79" s="34">
        <v>1</v>
      </c>
      <c r="I79" s="34">
        <v>5</v>
      </c>
      <c r="J79" s="35">
        <f t="shared" si="40"/>
        <v>5</v>
      </c>
      <c r="K79" s="35">
        <v>1</v>
      </c>
      <c r="L79" s="34">
        <f t="shared" si="41"/>
        <v>5</v>
      </c>
      <c r="M79" s="42" t="s">
        <v>574</v>
      </c>
      <c r="N79" s="61" t="s">
        <v>673</v>
      </c>
      <c r="O79" s="60" t="s">
        <v>677</v>
      </c>
      <c r="P79" s="37"/>
      <c r="Q79" s="37" t="s">
        <v>679</v>
      </c>
      <c r="R79" s="60"/>
    </row>
    <row r="80" spans="1:18" s="7" customFormat="1" ht="60">
      <c r="A80" s="48"/>
      <c r="B80" s="45"/>
      <c r="C80" s="38"/>
      <c r="D80" s="31" t="s">
        <v>27</v>
      </c>
      <c r="E80" s="31" t="s">
        <v>80</v>
      </c>
      <c r="F80" s="38" t="str">
        <f t="shared" ref="F80:F85" si="42">IF($C80&lt;&gt;"",C80,"")</f>
        <v/>
      </c>
      <c r="G80" s="34">
        <v>1</v>
      </c>
      <c r="H80" s="34">
        <v>1</v>
      </c>
      <c r="I80" s="34">
        <v>5</v>
      </c>
      <c r="J80" s="35">
        <f t="shared" si="40"/>
        <v>5</v>
      </c>
      <c r="K80" s="35">
        <v>1</v>
      </c>
      <c r="L80" s="34">
        <f t="shared" si="41"/>
        <v>5</v>
      </c>
      <c r="M80" s="42" t="s">
        <v>602</v>
      </c>
      <c r="N80" s="61" t="s">
        <v>676</v>
      </c>
      <c r="O80" s="61" t="s">
        <v>678</v>
      </c>
      <c r="P80" s="37"/>
      <c r="Q80" s="37" t="s">
        <v>680</v>
      </c>
      <c r="R80" s="61"/>
    </row>
    <row r="81" spans="1:18" s="7" customFormat="1" ht="60">
      <c r="A81" s="48"/>
      <c r="B81" s="45"/>
      <c r="C81" s="38"/>
      <c r="D81" s="31" t="s">
        <v>32</v>
      </c>
      <c r="E81" s="31" t="s">
        <v>91</v>
      </c>
      <c r="F81" s="38" t="str">
        <f t="shared" si="42"/>
        <v/>
      </c>
      <c r="G81" s="34">
        <v>1</v>
      </c>
      <c r="H81" s="34">
        <v>1</v>
      </c>
      <c r="I81" s="34">
        <v>5</v>
      </c>
      <c r="J81" s="35">
        <f t="shared" si="40"/>
        <v>5</v>
      </c>
      <c r="K81" s="35">
        <v>1</v>
      </c>
      <c r="L81" s="34">
        <f t="shared" si="41"/>
        <v>5</v>
      </c>
      <c r="M81" s="42" t="s">
        <v>603</v>
      </c>
      <c r="N81" s="61" t="s">
        <v>676</v>
      </c>
      <c r="O81" s="61" t="s">
        <v>678</v>
      </c>
      <c r="P81" s="37"/>
      <c r="Q81" s="37" t="s">
        <v>680</v>
      </c>
      <c r="R81" s="61"/>
    </row>
    <row r="82" spans="1:18" s="7" customFormat="1" ht="45">
      <c r="A82" s="48"/>
      <c r="B82" s="45"/>
      <c r="C82" s="38"/>
      <c r="D82" s="31" t="s">
        <v>19</v>
      </c>
      <c r="E82" s="31" t="s">
        <v>70</v>
      </c>
      <c r="F82" s="38" t="str">
        <f t="shared" si="42"/>
        <v/>
      </c>
      <c r="G82" s="34">
        <v>1</v>
      </c>
      <c r="H82" s="34">
        <v>1</v>
      </c>
      <c r="I82" s="34">
        <v>5</v>
      </c>
      <c r="J82" s="35">
        <f t="shared" si="40"/>
        <v>5</v>
      </c>
      <c r="K82" s="35">
        <v>1</v>
      </c>
      <c r="L82" s="34">
        <f t="shared" si="41"/>
        <v>5</v>
      </c>
      <c r="M82" s="42" t="s">
        <v>610</v>
      </c>
      <c r="N82" s="61" t="s">
        <v>673</v>
      </c>
      <c r="O82" s="61" t="s">
        <v>689</v>
      </c>
      <c r="P82" s="37" t="s">
        <v>692</v>
      </c>
      <c r="Q82" s="37" t="s">
        <v>668</v>
      </c>
      <c r="R82" s="62">
        <v>43445</v>
      </c>
    </row>
    <row r="83" spans="1:18" s="7" customFormat="1" ht="45">
      <c r="A83" s="48"/>
      <c r="B83" s="45"/>
      <c r="C83" s="38"/>
      <c r="D83" s="31" t="s">
        <v>36</v>
      </c>
      <c r="E83" s="31" t="s">
        <v>67</v>
      </c>
      <c r="F83" s="38" t="str">
        <f t="shared" si="42"/>
        <v/>
      </c>
      <c r="G83" s="34">
        <v>1</v>
      </c>
      <c r="H83" s="34">
        <v>1</v>
      </c>
      <c r="I83" s="34">
        <v>5</v>
      </c>
      <c r="J83" s="35">
        <f t="shared" si="40"/>
        <v>5</v>
      </c>
      <c r="K83" s="35">
        <v>1</v>
      </c>
      <c r="L83" s="41">
        <f t="shared" si="41"/>
        <v>5</v>
      </c>
      <c r="M83" s="42" t="s">
        <v>617</v>
      </c>
      <c r="N83" s="61" t="s">
        <v>673</v>
      </c>
      <c r="O83" s="61" t="s">
        <v>672</v>
      </c>
      <c r="P83" s="37"/>
      <c r="Q83" s="37" t="s">
        <v>679</v>
      </c>
      <c r="R83" s="61"/>
    </row>
    <row r="84" spans="1:18" s="7" customFormat="1" ht="60">
      <c r="A84" s="48"/>
      <c r="B84" s="45"/>
      <c r="C84" s="38"/>
      <c r="D84" s="31" t="s">
        <v>50</v>
      </c>
      <c r="E84" s="30" t="s">
        <v>72</v>
      </c>
      <c r="F84" s="38" t="str">
        <f t="shared" si="42"/>
        <v/>
      </c>
      <c r="G84" s="34">
        <v>1</v>
      </c>
      <c r="H84" s="34">
        <v>1</v>
      </c>
      <c r="I84" s="34">
        <v>5</v>
      </c>
      <c r="J84" s="35">
        <f t="shared" si="40"/>
        <v>5</v>
      </c>
      <c r="K84" s="35">
        <v>1</v>
      </c>
      <c r="L84" s="41">
        <f t="shared" si="41"/>
        <v>5</v>
      </c>
      <c r="M84" s="42" t="s">
        <v>612</v>
      </c>
      <c r="N84" s="61" t="s">
        <v>673</v>
      </c>
      <c r="O84" s="61" t="s">
        <v>683</v>
      </c>
      <c r="P84" s="37"/>
      <c r="Q84" s="37" t="s">
        <v>679</v>
      </c>
      <c r="R84" s="61"/>
    </row>
    <row r="85" spans="1:18" s="7" customFormat="1">
      <c r="A85" s="49"/>
      <c r="B85" s="46"/>
      <c r="C85" s="39"/>
      <c r="D85" s="31"/>
      <c r="E85" s="31"/>
      <c r="F85" s="39" t="str">
        <f t="shared" si="42"/>
        <v/>
      </c>
      <c r="G85" s="34"/>
      <c r="H85" s="34"/>
      <c r="I85" s="34"/>
      <c r="J85" s="35" t="str">
        <f t="shared" si="40"/>
        <v/>
      </c>
      <c r="K85" s="35"/>
      <c r="L85" s="41" t="str">
        <f t="shared" si="41"/>
        <v/>
      </c>
      <c r="M85" s="42"/>
      <c r="N85" s="60"/>
      <c r="O85" s="60"/>
      <c r="P85" s="37"/>
      <c r="Q85" s="37"/>
      <c r="R85" s="60"/>
    </row>
    <row r="86" spans="1:18" s="7" customFormat="1" ht="69.75" customHeight="1">
      <c r="A86" s="47">
        <v>8</v>
      </c>
      <c r="B86" s="44" t="s">
        <v>639</v>
      </c>
      <c r="C86" s="37" t="s">
        <v>434</v>
      </c>
      <c r="D86" s="31" t="s">
        <v>112</v>
      </c>
      <c r="E86" s="31" t="s">
        <v>600</v>
      </c>
      <c r="F86" s="37" t="s">
        <v>435</v>
      </c>
      <c r="G86" s="34">
        <v>5</v>
      </c>
      <c r="H86" s="34">
        <v>5</v>
      </c>
      <c r="I86" s="34">
        <v>5</v>
      </c>
      <c r="J86" s="35">
        <f>IF(MAX(G86:I86)=0,"",MAX(G86:I86))</f>
        <v>5</v>
      </c>
      <c r="K86" s="35">
        <v>1</v>
      </c>
      <c r="L86" s="34">
        <f>IFERROR(J86*K86,"")</f>
        <v>5</v>
      </c>
      <c r="M86" s="42" t="s">
        <v>571</v>
      </c>
      <c r="N86" s="61" t="s">
        <v>673</v>
      </c>
      <c r="O86" s="61" t="s">
        <v>685</v>
      </c>
      <c r="P86" s="37"/>
      <c r="Q86" s="37" t="s">
        <v>679</v>
      </c>
      <c r="R86" s="61"/>
    </row>
    <row r="87" spans="1:18" s="7" customFormat="1" ht="75">
      <c r="A87" s="48"/>
      <c r="B87" s="45"/>
      <c r="C87" s="38"/>
      <c r="D87" s="31" t="s">
        <v>36</v>
      </c>
      <c r="E87" s="31" t="s">
        <v>67</v>
      </c>
      <c r="F87" s="38" t="str">
        <f>IF($C87&lt;&gt;"",C87,"")</f>
        <v/>
      </c>
      <c r="G87" s="34">
        <v>1</v>
      </c>
      <c r="H87" s="34">
        <v>1</v>
      </c>
      <c r="I87" s="34">
        <v>5</v>
      </c>
      <c r="J87" s="35">
        <f t="shared" ref="J87:J97" si="43">IF(MAX(G87:I87)=0,"",MAX(G87:I87))</f>
        <v>5</v>
      </c>
      <c r="K87" s="35">
        <v>1</v>
      </c>
      <c r="L87" s="34">
        <f t="shared" ref="L87:L97" si="44">IFERROR(J87*K87,"")</f>
        <v>5</v>
      </c>
      <c r="M87" s="42" t="s">
        <v>618</v>
      </c>
      <c r="N87" s="61" t="s">
        <v>673</v>
      </c>
      <c r="O87" s="61" t="s">
        <v>672</v>
      </c>
      <c r="P87" s="37"/>
      <c r="Q87" s="37" t="s">
        <v>679</v>
      </c>
      <c r="R87" s="61"/>
    </row>
    <row r="88" spans="1:18" s="7" customFormat="1" ht="60">
      <c r="A88" s="48"/>
      <c r="B88" s="45"/>
      <c r="C88" s="38"/>
      <c r="D88" s="31" t="s">
        <v>25</v>
      </c>
      <c r="E88" s="31" t="s">
        <v>69</v>
      </c>
      <c r="F88" s="38" t="str">
        <f>IF($C88&lt;&gt;"",C88,"")</f>
        <v/>
      </c>
      <c r="G88" s="34">
        <v>1</v>
      </c>
      <c r="H88" s="34">
        <v>1</v>
      </c>
      <c r="I88" s="34">
        <v>5</v>
      </c>
      <c r="J88" s="35">
        <f t="shared" si="43"/>
        <v>5</v>
      </c>
      <c r="K88" s="35">
        <v>1</v>
      </c>
      <c r="L88" s="34">
        <f t="shared" si="44"/>
        <v>5</v>
      </c>
      <c r="M88" s="42" t="s">
        <v>607</v>
      </c>
      <c r="N88" s="61" t="s">
        <v>673</v>
      </c>
      <c r="O88" s="61" t="s">
        <v>677</v>
      </c>
      <c r="P88" s="37"/>
      <c r="Q88" s="37" t="s">
        <v>679</v>
      </c>
      <c r="R88" s="61"/>
    </row>
    <row r="89" spans="1:18" s="7" customFormat="1" ht="60">
      <c r="A89" s="48"/>
      <c r="B89" s="45"/>
      <c r="C89" s="38"/>
      <c r="D89" s="31" t="s">
        <v>25</v>
      </c>
      <c r="E89" s="31" t="s">
        <v>81</v>
      </c>
      <c r="F89" s="38"/>
      <c r="G89" s="34">
        <v>1</v>
      </c>
      <c r="H89" s="34">
        <v>1</v>
      </c>
      <c r="I89" s="34">
        <v>5</v>
      </c>
      <c r="J89" s="35">
        <f t="shared" si="43"/>
        <v>5</v>
      </c>
      <c r="K89" s="35">
        <v>1</v>
      </c>
      <c r="L89" s="34">
        <f t="shared" si="44"/>
        <v>5</v>
      </c>
      <c r="M89" s="42" t="s">
        <v>619</v>
      </c>
      <c r="N89" s="61" t="s">
        <v>673</v>
      </c>
      <c r="O89" s="61" t="s">
        <v>677</v>
      </c>
      <c r="P89" s="37"/>
      <c r="Q89" s="37" t="s">
        <v>679</v>
      </c>
      <c r="R89" s="61"/>
    </row>
    <row r="90" spans="1:18" s="7" customFormat="1" ht="60">
      <c r="A90" s="48"/>
      <c r="B90" s="45"/>
      <c r="C90" s="38"/>
      <c r="D90" s="31" t="s">
        <v>25</v>
      </c>
      <c r="E90" s="31" t="s">
        <v>90</v>
      </c>
      <c r="F90" s="38"/>
      <c r="G90" s="34">
        <v>1</v>
      </c>
      <c r="H90" s="34">
        <v>1</v>
      </c>
      <c r="I90" s="34">
        <v>5</v>
      </c>
      <c r="J90" s="35">
        <f t="shared" si="43"/>
        <v>5</v>
      </c>
      <c r="K90" s="35">
        <v>1</v>
      </c>
      <c r="L90" s="34">
        <f t="shared" si="44"/>
        <v>5</v>
      </c>
      <c r="M90" s="42" t="s">
        <v>620</v>
      </c>
      <c r="N90" s="61" t="s">
        <v>673</v>
      </c>
      <c r="O90" s="61" t="s">
        <v>677</v>
      </c>
      <c r="P90" s="37"/>
      <c r="Q90" s="37" t="s">
        <v>679</v>
      </c>
      <c r="R90" s="61"/>
    </row>
    <row r="91" spans="1:18" s="7" customFormat="1" ht="60">
      <c r="A91" s="48"/>
      <c r="B91" s="45"/>
      <c r="C91" s="38"/>
      <c r="D91" s="31" t="s">
        <v>25</v>
      </c>
      <c r="E91" s="31" t="s">
        <v>91</v>
      </c>
      <c r="F91" s="38"/>
      <c r="G91" s="34">
        <v>1</v>
      </c>
      <c r="H91" s="34">
        <v>1</v>
      </c>
      <c r="I91" s="34">
        <v>5</v>
      </c>
      <c r="J91" s="35">
        <f t="shared" si="43"/>
        <v>5</v>
      </c>
      <c r="K91" s="35">
        <v>1</v>
      </c>
      <c r="L91" s="34">
        <f t="shared" si="44"/>
        <v>5</v>
      </c>
      <c r="M91" s="42" t="s">
        <v>574</v>
      </c>
      <c r="N91" s="61" t="s">
        <v>673</v>
      </c>
      <c r="O91" s="61" t="s">
        <v>677</v>
      </c>
      <c r="P91" s="37"/>
      <c r="Q91" s="37" t="s">
        <v>679</v>
      </c>
      <c r="R91" s="61"/>
    </row>
    <row r="92" spans="1:18" s="7" customFormat="1" ht="60">
      <c r="A92" s="48"/>
      <c r="B92" s="45"/>
      <c r="C92" s="38"/>
      <c r="D92" s="31" t="s">
        <v>27</v>
      </c>
      <c r="E92" s="31" t="s">
        <v>80</v>
      </c>
      <c r="F92" s="38" t="str">
        <f t="shared" ref="F92:F97" si="45">IF($C92&lt;&gt;"",C92,"")</f>
        <v/>
      </c>
      <c r="G92" s="34">
        <v>1</v>
      </c>
      <c r="H92" s="34">
        <v>1</v>
      </c>
      <c r="I92" s="34">
        <v>5</v>
      </c>
      <c r="J92" s="35">
        <f t="shared" si="43"/>
        <v>5</v>
      </c>
      <c r="K92" s="35">
        <v>1</v>
      </c>
      <c r="L92" s="34">
        <f t="shared" si="44"/>
        <v>5</v>
      </c>
      <c r="M92" s="42" t="s">
        <v>602</v>
      </c>
      <c r="N92" s="61" t="s">
        <v>676</v>
      </c>
      <c r="O92" s="61" t="s">
        <v>678</v>
      </c>
      <c r="P92" s="37"/>
      <c r="Q92" s="37" t="s">
        <v>680</v>
      </c>
      <c r="R92" s="61"/>
    </row>
    <row r="93" spans="1:18" s="7" customFormat="1" ht="60">
      <c r="A93" s="48"/>
      <c r="B93" s="45"/>
      <c r="C93" s="38"/>
      <c r="D93" s="31" t="s">
        <v>32</v>
      </c>
      <c r="E93" s="31" t="s">
        <v>91</v>
      </c>
      <c r="F93" s="38" t="str">
        <f t="shared" si="45"/>
        <v/>
      </c>
      <c r="G93" s="34">
        <v>1</v>
      </c>
      <c r="H93" s="34">
        <v>1</v>
      </c>
      <c r="I93" s="34">
        <v>5</v>
      </c>
      <c r="J93" s="35">
        <f t="shared" si="43"/>
        <v>5</v>
      </c>
      <c r="K93" s="35">
        <v>1</v>
      </c>
      <c r="L93" s="34">
        <f t="shared" si="44"/>
        <v>5</v>
      </c>
      <c r="M93" s="42" t="s">
        <v>603</v>
      </c>
      <c r="N93" s="61" t="s">
        <v>676</v>
      </c>
      <c r="O93" s="61" t="s">
        <v>678</v>
      </c>
      <c r="P93" s="37"/>
      <c r="Q93" s="37" t="s">
        <v>680</v>
      </c>
      <c r="R93" s="61"/>
    </row>
    <row r="94" spans="1:18" s="7" customFormat="1" ht="45">
      <c r="A94" s="48"/>
      <c r="B94" s="45"/>
      <c r="C94" s="38"/>
      <c r="D94" s="31" t="s">
        <v>19</v>
      </c>
      <c r="E94" s="31" t="s">
        <v>70</v>
      </c>
      <c r="F94" s="38" t="str">
        <f t="shared" si="45"/>
        <v/>
      </c>
      <c r="G94" s="34">
        <v>1</v>
      </c>
      <c r="H94" s="34">
        <v>1</v>
      </c>
      <c r="I94" s="34">
        <v>5</v>
      </c>
      <c r="J94" s="35">
        <f t="shared" si="43"/>
        <v>5</v>
      </c>
      <c r="K94" s="35">
        <v>1</v>
      </c>
      <c r="L94" s="34">
        <f t="shared" si="44"/>
        <v>5</v>
      </c>
      <c r="M94" s="42" t="s">
        <v>610</v>
      </c>
      <c r="N94" s="61" t="s">
        <v>673</v>
      </c>
      <c r="O94" s="60" t="s">
        <v>685</v>
      </c>
      <c r="P94" s="37"/>
      <c r="Q94" s="37" t="s">
        <v>679</v>
      </c>
      <c r="R94" s="60"/>
    </row>
    <row r="95" spans="1:18" s="7" customFormat="1" ht="45">
      <c r="A95" s="48"/>
      <c r="B95" s="45"/>
      <c r="C95" s="38"/>
      <c r="D95" s="31" t="s">
        <v>36</v>
      </c>
      <c r="E95" s="31" t="s">
        <v>67</v>
      </c>
      <c r="F95" s="38" t="str">
        <f t="shared" si="45"/>
        <v/>
      </c>
      <c r="G95" s="34">
        <v>1</v>
      </c>
      <c r="H95" s="34">
        <v>1</v>
      </c>
      <c r="I95" s="34">
        <v>5</v>
      </c>
      <c r="J95" s="35">
        <f t="shared" si="43"/>
        <v>5</v>
      </c>
      <c r="K95" s="35">
        <v>1</v>
      </c>
      <c r="L95" s="41">
        <f t="shared" si="44"/>
        <v>5</v>
      </c>
      <c r="M95" s="42" t="s">
        <v>611</v>
      </c>
      <c r="N95" s="61" t="s">
        <v>673</v>
      </c>
      <c r="O95" s="61" t="s">
        <v>672</v>
      </c>
      <c r="P95" s="37"/>
      <c r="Q95" s="37" t="s">
        <v>679</v>
      </c>
      <c r="R95" s="60"/>
    </row>
    <row r="96" spans="1:18" s="7" customFormat="1" ht="60">
      <c r="A96" s="48"/>
      <c r="B96" s="45"/>
      <c r="C96" s="38"/>
      <c r="D96" s="31" t="s">
        <v>50</v>
      </c>
      <c r="E96" s="30" t="s">
        <v>72</v>
      </c>
      <c r="F96" s="38" t="str">
        <f t="shared" si="45"/>
        <v/>
      </c>
      <c r="G96" s="34">
        <v>1</v>
      </c>
      <c r="H96" s="34">
        <v>1</v>
      </c>
      <c r="I96" s="34">
        <v>5</v>
      </c>
      <c r="J96" s="35">
        <f t="shared" si="43"/>
        <v>5</v>
      </c>
      <c r="K96" s="35">
        <v>1</v>
      </c>
      <c r="L96" s="41">
        <f t="shared" si="44"/>
        <v>5</v>
      </c>
      <c r="M96" s="42" t="s">
        <v>612</v>
      </c>
      <c r="N96" s="61" t="s">
        <v>673</v>
      </c>
      <c r="O96" s="61" t="s">
        <v>683</v>
      </c>
      <c r="P96" s="37"/>
      <c r="Q96" s="37" t="s">
        <v>679</v>
      </c>
      <c r="R96" s="60"/>
    </row>
    <row r="97" spans="1:18" s="7" customFormat="1">
      <c r="A97" s="49"/>
      <c r="B97" s="46"/>
      <c r="C97" s="39"/>
      <c r="D97" s="31"/>
      <c r="E97" s="31"/>
      <c r="F97" s="39" t="str">
        <f t="shared" si="45"/>
        <v/>
      </c>
      <c r="G97" s="34"/>
      <c r="H97" s="34"/>
      <c r="I97" s="34"/>
      <c r="J97" s="35" t="str">
        <f t="shared" si="43"/>
        <v/>
      </c>
      <c r="K97" s="35"/>
      <c r="L97" s="41" t="str">
        <f t="shared" si="44"/>
        <v/>
      </c>
      <c r="M97" s="42"/>
      <c r="N97" s="60"/>
      <c r="O97" s="60"/>
      <c r="P97" s="37"/>
      <c r="Q97" s="37"/>
      <c r="R97" s="60"/>
    </row>
    <row r="98" spans="1:18" s="7" customFormat="1" ht="69.75" customHeight="1">
      <c r="A98" s="47">
        <v>9</v>
      </c>
      <c r="B98" s="44" t="s">
        <v>645</v>
      </c>
      <c r="C98" s="37" t="s">
        <v>434</v>
      </c>
      <c r="D98" s="31" t="s">
        <v>112</v>
      </c>
      <c r="E98" s="31" t="s">
        <v>600</v>
      </c>
      <c r="F98" s="37" t="s">
        <v>435</v>
      </c>
      <c r="G98" s="34">
        <v>5</v>
      </c>
      <c r="H98" s="34">
        <v>5</v>
      </c>
      <c r="I98" s="34">
        <v>5</v>
      </c>
      <c r="J98" s="35">
        <f>IF(MAX(G98:I98)=0,"",MAX(G98:I98))</f>
        <v>5</v>
      </c>
      <c r="K98" s="35">
        <v>1</v>
      </c>
      <c r="L98" s="34">
        <f>IFERROR(J98*K98,"")</f>
        <v>5</v>
      </c>
      <c r="M98" s="42" t="s">
        <v>571</v>
      </c>
      <c r="N98" s="61" t="s">
        <v>673</v>
      </c>
      <c r="O98" s="61" t="s">
        <v>685</v>
      </c>
      <c r="P98" s="37"/>
      <c r="Q98" s="37" t="s">
        <v>679</v>
      </c>
      <c r="R98" s="61"/>
    </row>
    <row r="99" spans="1:18" s="7" customFormat="1" ht="75">
      <c r="A99" s="48"/>
      <c r="B99" s="45"/>
      <c r="C99" s="38"/>
      <c r="D99" s="31" t="s">
        <v>36</v>
      </c>
      <c r="E99" s="31" t="s">
        <v>67</v>
      </c>
      <c r="F99" s="38" t="str">
        <f>IF($C99&lt;&gt;"",C99,"")</f>
        <v/>
      </c>
      <c r="G99" s="34">
        <v>1</v>
      </c>
      <c r="H99" s="34">
        <v>1</v>
      </c>
      <c r="I99" s="34">
        <v>5</v>
      </c>
      <c r="J99" s="35">
        <f t="shared" ref="J99:J109" si="46">IF(MAX(G99:I99)=0,"",MAX(G99:I99))</f>
        <v>5</v>
      </c>
      <c r="K99" s="35">
        <v>1</v>
      </c>
      <c r="L99" s="34">
        <f t="shared" ref="L99:L109" si="47">IFERROR(J99*K99,"")</f>
        <v>5</v>
      </c>
      <c r="M99" s="42" t="s">
        <v>618</v>
      </c>
      <c r="N99" s="61" t="s">
        <v>673</v>
      </c>
      <c r="O99" s="61" t="s">
        <v>672</v>
      </c>
      <c r="P99" s="37"/>
      <c r="Q99" s="37" t="s">
        <v>679</v>
      </c>
      <c r="R99" s="61"/>
    </row>
    <row r="100" spans="1:18" s="7" customFormat="1" ht="60">
      <c r="A100" s="48"/>
      <c r="B100" s="45"/>
      <c r="C100" s="38"/>
      <c r="D100" s="31" t="s">
        <v>25</v>
      </c>
      <c r="E100" s="31" t="s">
        <v>69</v>
      </c>
      <c r="F100" s="38" t="str">
        <f>IF($C100&lt;&gt;"",C100,"")</f>
        <v/>
      </c>
      <c r="G100" s="34">
        <v>1</v>
      </c>
      <c r="H100" s="34">
        <v>1</v>
      </c>
      <c r="I100" s="34">
        <v>5</v>
      </c>
      <c r="J100" s="35">
        <f t="shared" si="46"/>
        <v>5</v>
      </c>
      <c r="K100" s="35">
        <v>1</v>
      </c>
      <c r="L100" s="34">
        <f t="shared" si="47"/>
        <v>5</v>
      </c>
      <c r="M100" s="42" t="s">
        <v>607</v>
      </c>
      <c r="N100" s="61" t="s">
        <v>673</v>
      </c>
      <c r="O100" s="61" t="s">
        <v>677</v>
      </c>
      <c r="P100" s="37"/>
      <c r="Q100" s="37" t="s">
        <v>679</v>
      </c>
      <c r="R100" s="61"/>
    </row>
    <row r="101" spans="1:18" s="7" customFormat="1" ht="60">
      <c r="A101" s="48"/>
      <c r="B101" s="45"/>
      <c r="C101" s="38"/>
      <c r="D101" s="31" t="s">
        <v>25</v>
      </c>
      <c r="E101" s="31" t="s">
        <v>81</v>
      </c>
      <c r="F101" s="38"/>
      <c r="G101" s="34">
        <v>1</v>
      </c>
      <c r="H101" s="34">
        <v>1</v>
      </c>
      <c r="I101" s="34">
        <v>5</v>
      </c>
      <c r="J101" s="35">
        <f t="shared" si="46"/>
        <v>5</v>
      </c>
      <c r="K101" s="35">
        <v>1</v>
      </c>
      <c r="L101" s="34">
        <f t="shared" si="47"/>
        <v>5</v>
      </c>
      <c r="M101" s="42" t="s">
        <v>619</v>
      </c>
      <c r="N101" s="61" t="s">
        <v>673</v>
      </c>
      <c r="O101" s="61" t="s">
        <v>677</v>
      </c>
      <c r="P101" s="37"/>
      <c r="Q101" s="37" t="s">
        <v>679</v>
      </c>
      <c r="R101" s="61"/>
    </row>
    <row r="102" spans="1:18" s="7" customFormat="1" ht="60">
      <c r="A102" s="48"/>
      <c r="B102" s="45"/>
      <c r="C102" s="38"/>
      <c r="D102" s="31" t="s">
        <v>25</v>
      </c>
      <c r="E102" s="31" t="s">
        <v>90</v>
      </c>
      <c r="F102" s="38"/>
      <c r="G102" s="34">
        <v>1</v>
      </c>
      <c r="H102" s="34">
        <v>1</v>
      </c>
      <c r="I102" s="34">
        <v>5</v>
      </c>
      <c r="J102" s="35">
        <f t="shared" si="46"/>
        <v>5</v>
      </c>
      <c r="K102" s="35">
        <v>1</v>
      </c>
      <c r="L102" s="34">
        <f t="shared" si="47"/>
        <v>5</v>
      </c>
      <c r="M102" s="42" t="s">
        <v>620</v>
      </c>
      <c r="N102" s="61" t="s">
        <v>673</v>
      </c>
      <c r="O102" s="61" t="s">
        <v>677</v>
      </c>
      <c r="P102" s="37"/>
      <c r="Q102" s="37" t="s">
        <v>679</v>
      </c>
      <c r="R102" s="61"/>
    </row>
    <row r="103" spans="1:18" s="7" customFormat="1" ht="60">
      <c r="A103" s="48"/>
      <c r="B103" s="45"/>
      <c r="C103" s="38"/>
      <c r="D103" s="31" t="s">
        <v>25</v>
      </c>
      <c r="E103" s="31" t="s">
        <v>91</v>
      </c>
      <c r="F103" s="38"/>
      <c r="G103" s="34">
        <v>1</v>
      </c>
      <c r="H103" s="34">
        <v>1</v>
      </c>
      <c r="I103" s="34">
        <v>5</v>
      </c>
      <c r="J103" s="35">
        <f t="shared" si="46"/>
        <v>5</v>
      </c>
      <c r="K103" s="35">
        <v>1</v>
      </c>
      <c r="L103" s="34">
        <f t="shared" si="47"/>
        <v>5</v>
      </c>
      <c r="M103" s="42" t="s">
        <v>574</v>
      </c>
      <c r="N103" s="61" t="s">
        <v>673</v>
      </c>
      <c r="O103" s="61" t="s">
        <v>677</v>
      </c>
      <c r="P103" s="37"/>
      <c r="Q103" s="37" t="s">
        <v>679</v>
      </c>
      <c r="R103" s="61"/>
    </row>
    <row r="104" spans="1:18" s="7" customFormat="1" ht="60">
      <c r="A104" s="48"/>
      <c r="B104" s="45"/>
      <c r="C104" s="38"/>
      <c r="D104" s="31" t="s">
        <v>27</v>
      </c>
      <c r="E104" s="31" t="s">
        <v>80</v>
      </c>
      <c r="F104" s="38" t="str">
        <f t="shared" ref="F104:F109" si="48">IF($C104&lt;&gt;"",C104,"")</f>
        <v/>
      </c>
      <c r="G104" s="34">
        <v>1</v>
      </c>
      <c r="H104" s="34">
        <v>1</v>
      </c>
      <c r="I104" s="34">
        <v>5</v>
      </c>
      <c r="J104" s="35">
        <f t="shared" si="46"/>
        <v>5</v>
      </c>
      <c r="K104" s="35">
        <v>1</v>
      </c>
      <c r="L104" s="34">
        <f t="shared" si="47"/>
        <v>5</v>
      </c>
      <c r="M104" s="42" t="s">
        <v>602</v>
      </c>
      <c r="N104" s="61" t="s">
        <v>676</v>
      </c>
      <c r="O104" s="61" t="s">
        <v>678</v>
      </c>
      <c r="P104" s="37"/>
      <c r="Q104" s="37" t="s">
        <v>680</v>
      </c>
      <c r="R104" s="61"/>
    </row>
    <row r="105" spans="1:18" s="7" customFormat="1" ht="60">
      <c r="A105" s="48"/>
      <c r="B105" s="45"/>
      <c r="C105" s="38"/>
      <c r="D105" s="31" t="s">
        <v>32</v>
      </c>
      <c r="E105" s="31" t="s">
        <v>91</v>
      </c>
      <c r="F105" s="38" t="str">
        <f t="shared" si="48"/>
        <v/>
      </c>
      <c r="G105" s="34">
        <v>1</v>
      </c>
      <c r="H105" s="34">
        <v>1</v>
      </c>
      <c r="I105" s="34">
        <v>5</v>
      </c>
      <c r="J105" s="35">
        <f t="shared" si="46"/>
        <v>5</v>
      </c>
      <c r="K105" s="35">
        <v>1</v>
      </c>
      <c r="L105" s="34">
        <f t="shared" si="47"/>
        <v>5</v>
      </c>
      <c r="M105" s="42" t="s">
        <v>603</v>
      </c>
      <c r="N105" s="61" t="s">
        <v>676</v>
      </c>
      <c r="O105" s="61" t="s">
        <v>678</v>
      </c>
      <c r="P105" s="37"/>
      <c r="Q105" s="37" t="s">
        <v>680</v>
      </c>
      <c r="R105" s="61"/>
    </row>
    <row r="106" spans="1:18" s="7" customFormat="1" ht="45">
      <c r="A106" s="48"/>
      <c r="B106" s="45"/>
      <c r="C106" s="38"/>
      <c r="D106" s="31" t="s">
        <v>19</v>
      </c>
      <c r="E106" s="31" t="s">
        <v>70</v>
      </c>
      <c r="F106" s="38" t="str">
        <f t="shared" si="48"/>
        <v/>
      </c>
      <c r="G106" s="34">
        <v>1</v>
      </c>
      <c r="H106" s="34">
        <v>1</v>
      </c>
      <c r="I106" s="34">
        <v>5</v>
      </c>
      <c r="J106" s="35">
        <f t="shared" si="46"/>
        <v>5</v>
      </c>
      <c r="K106" s="35">
        <v>1</v>
      </c>
      <c r="L106" s="34">
        <f t="shared" si="47"/>
        <v>5</v>
      </c>
      <c r="M106" s="42" t="s">
        <v>610</v>
      </c>
      <c r="N106" s="61" t="s">
        <v>673</v>
      </c>
      <c r="O106" s="61" t="s">
        <v>685</v>
      </c>
      <c r="P106" s="37"/>
      <c r="Q106" s="37" t="s">
        <v>679</v>
      </c>
      <c r="R106" s="61"/>
    </row>
    <row r="107" spans="1:18" s="7" customFormat="1" ht="75">
      <c r="A107" s="48"/>
      <c r="B107" s="45"/>
      <c r="C107" s="38"/>
      <c r="D107" s="31" t="s">
        <v>492</v>
      </c>
      <c r="E107" s="32" t="s">
        <v>73</v>
      </c>
      <c r="F107" s="38" t="str">
        <f t="shared" si="48"/>
        <v/>
      </c>
      <c r="G107" s="34">
        <v>1</v>
      </c>
      <c r="H107" s="34">
        <v>1</v>
      </c>
      <c r="I107" s="34">
        <v>5</v>
      </c>
      <c r="J107" s="35">
        <f t="shared" si="46"/>
        <v>5</v>
      </c>
      <c r="K107" s="35">
        <v>1</v>
      </c>
      <c r="L107" s="41">
        <f t="shared" si="47"/>
        <v>5</v>
      </c>
      <c r="M107" s="42" t="s">
        <v>622</v>
      </c>
      <c r="N107" s="61" t="s">
        <v>673</v>
      </c>
      <c r="O107" s="61" t="s">
        <v>685</v>
      </c>
      <c r="P107" s="37"/>
      <c r="Q107" s="37" t="s">
        <v>679</v>
      </c>
      <c r="R107" s="61"/>
    </row>
    <row r="108" spans="1:18" s="7" customFormat="1" ht="60">
      <c r="A108" s="48"/>
      <c r="B108" s="45"/>
      <c r="C108" s="38"/>
      <c r="D108" s="31" t="s">
        <v>50</v>
      </c>
      <c r="E108" s="40" t="s">
        <v>72</v>
      </c>
      <c r="F108" s="38" t="str">
        <f t="shared" si="48"/>
        <v/>
      </c>
      <c r="G108" s="34">
        <v>1</v>
      </c>
      <c r="H108" s="34">
        <v>1</v>
      </c>
      <c r="I108" s="34">
        <v>5</v>
      </c>
      <c r="J108" s="35">
        <f t="shared" si="46"/>
        <v>5</v>
      </c>
      <c r="K108" s="35">
        <v>1</v>
      </c>
      <c r="L108" s="41">
        <f t="shared" si="47"/>
        <v>5</v>
      </c>
      <c r="M108" s="42" t="s">
        <v>612</v>
      </c>
      <c r="N108" s="61" t="s">
        <v>673</v>
      </c>
      <c r="O108" s="61" t="s">
        <v>683</v>
      </c>
      <c r="P108" s="37"/>
      <c r="Q108" s="37" t="s">
        <v>679</v>
      </c>
      <c r="R108" s="60"/>
    </row>
    <row r="109" spans="1:18" s="7" customFormat="1">
      <c r="A109" s="49"/>
      <c r="B109" s="46"/>
      <c r="C109" s="39"/>
      <c r="D109" s="31"/>
      <c r="E109" s="31"/>
      <c r="F109" s="39" t="str">
        <f t="shared" si="48"/>
        <v/>
      </c>
      <c r="G109" s="34"/>
      <c r="H109" s="34"/>
      <c r="I109" s="34"/>
      <c r="J109" s="35" t="str">
        <f t="shared" si="46"/>
        <v/>
      </c>
      <c r="K109" s="35"/>
      <c r="L109" s="41" t="str">
        <f t="shared" si="47"/>
        <v/>
      </c>
      <c r="M109" s="42"/>
      <c r="N109" s="60"/>
      <c r="O109" s="60"/>
      <c r="P109" s="37"/>
      <c r="Q109" s="37"/>
      <c r="R109" s="60"/>
    </row>
    <row r="110" spans="1:18" s="7" customFormat="1" ht="69.75" customHeight="1">
      <c r="A110" s="47">
        <v>10</v>
      </c>
      <c r="B110" s="44" t="s">
        <v>627</v>
      </c>
      <c r="C110" s="37" t="s">
        <v>434</v>
      </c>
      <c r="D110" s="31" t="s">
        <v>112</v>
      </c>
      <c r="E110" s="31" t="s">
        <v>600</v>
      </c>
      <c r="F110" s="37" t="s">
        <v>435</v>
      </c>
      <c r="G110" s="34">
        <v>1</v>
      </c>
      <c r="H110" s="34">
        <v>5</v>
      </c>
      <c r="I110" s="34">
        <v>5</v>
      </c>
      <c r="J110" s="35">
        <f>IF(MAX(G110:I110)=0,"",MAX(G110:I110))</f>
        <v>5</v>
      </c>
      <c r="K110" s="35">
        <v>1</v>
      </c>
      <c r="L110" s="34">
        <f>IFERROR(J110*K110,"")</f>
        <v>5</v>
      </c>
      <c r="M110" s="42" t="s">
        <v>571</v>
      </c>
      <c r="N110" s="61" t="s">
        <v>673</v>
      </c>
      <c r="O110" s="61" t="s">
        <v>685</v>
      </c>
      <c r="P110" s="37"/>
      <c r="Q110" s="37" t="s">
        <v>679</v>
      </c>
      <c r="R110" s="60"/>
    </row>
    <row r="111" spans="1:18" s="7" customFormat="1" ht="75">
      <c r="A111" s="48"/>
      <c r="B111" s="45"/>
      <c r="C111" s="38"/>
      <c r="D111" s="31" t="s">
        <v>36</v>
      </c>
      <c r="E111" s="31" t="s">
        <v>67</v>
      </c>
      <c r="F111" s="38" t="str">
        <f>IF($C111&lt;&gt;"",C111,"")</f>
        <v/>
      </c>
      <c r="G111" s="34">
        <v>1</v>
      </c>
      <c r="H111" s="34">
        <v>1</v>
      </c>
      <c r="I111" s="34">
        <v>5</v>
      </c>
      <c r="J111" s="35">
        <f t="shared" ref="J111:J121" si="49">IF(MAX(G111:I111)=0,"",MAX(G111:I111))</f>
        <v>5</v>
      </c>
      <c r="K111" s="35">
        <v>1</v>
      </c>
      <c r="L111" s="34">
        <f t="shared" ref="L111:L121" si="50">IFERROR(J111*K111,"")</f>
        <v>5</v>
      </c>
      <c r="M111" s="42" t="s">
        <v>618</v>
      </c>
      <c r="N111" s="61" t="s">
        <v>673</v>
      </c>
      <c r="O111" s="61" t="s">
        <v>672</v>
      </c>
      <c r="P111" s="37"/>
      <c r="Q111" s="37" t="s">
        <v>679</v>
      </c>
      <c r="R111" s="60"/>
    </row>
    <row r="112" spans="1:18" s="7" customFormat="1" ht="60">
      <c r="A112" s="48"/>
      <c r="B112" s="45"/>
      <c r="C112" s="38"/>
      <c r="D112" s="31" t="s">
        <v>25</v>
      </c>
      <c r="E112" s="31" t="s">
        <v>69</v>
      </c>
      <c r="F112" s="38" t="str">
        <f>IF($C112&lt;&gt;"",C112,"")</f>
        <v/>
      </c>
      <c r="G112" s="34">
        <v>1</v>
      </c>
      <c r="H112" s="34">
        <v>1</v>
      </c>
      <c r="I112" s="34">
        <v>5</v>
      </c>
      <c r="J112" s="35">
        <f t="shared" si="49"/>
        <v>5</v>
      </c>
      <c r="K112" s="35">
        <v>1</v>
      </c>
      <c r="L112" s="34">
        <f t="shared" si="50"/>
        <v>5</v>
      </c>
      <c r="M112" s="42" t="s">
        <v>607</v>
      </c>
      <c r="N112" s="61" t="s">
        <v>673</v>
      </c>
      <c r="O112" s="61" t="s">
        <v>677</v>
      </c>
      <c r="P112" s="37"/>
      <c r="Q112" s="37" t="s">
        <v>679</v>
      </c>
      <c r="R112" s="60"/>
    </row>
    <row r="113" spans="1:18" s="7" customFormat="1" ht="60">
      <c r="A113" s="48"/>
      <c r="B113" s="45"/>
      <c r="C113" s="38"/>
      <c r="D113" s="31" t="s">
        <v>25</v>
      </c>
      <c r="E113" s="31" t="s">
        <v>81</v>
      </c>
      <c r="F113" s="38"/>
      <c r="G113" s="34">
        <v>1</v>
      </c>
      <c r="H113" s="34">
        <v>1</v>
      </c>
      <c r="I113" s="34">
        <v>5</v>
      </c>
      <c r="J113" s="35">
        <f t="shared" si="49"/>
        <v>5</v>
      </c>
      <c r="K113" s="35">
        <v>1</v>
      </c>
      <c r="L113" s="34">
        <f t="shared" si="50"/>
        <v>5</v>
      </c>
      <c r="M113" s="42" t="s">
        <v>619</v>
      </c>
      <c r="N113" s="61" t="s">
        <v>673</v>
      </c>
      <c r="O113" s="61" t="s">
        <v>677</v>
      </c>
      <c r="P113" s="37"/>
      <c r="Q113" s="37" t="s">
        <v>679</v>
      </c>
      <c r="R113" s="60"/>
    </row>
    <row r="114" spans="1:18" s="7" customFormat="1" ht="60">
      <c r="A114" s="48"/>
      <c r="B114" s="45"/>
      <c r="C114" s="38"/>
      <c r="D114" s="31" t="s">
        <v>25</v>
      </c>
      <c r="E114" s="31" t="s">
        <v>90</v>
      </c>
      <c r="F114" s="38"/>
      <c r="G114" s="34">
        <v>1</v>
      </c>
      <c r="H114" s="34">
        <v>1</v>
      </c>
      <c r="I114" s="34">
        <v>5</v>
      </c>
      <c r="J114" s="35">
        <f t="shared" si="49"/>
        <v>5</v>
      </c>
      <c r="K114" s="35">
        <v>1</v>
      </c>
      <c r="L114" s="34">
        <f t="shared" si="50"/>
        <v>5</v>
      </c>
      <c r="M114" s="42" t="s">
        <v>620</v>
      </c>
      <c r="N114" s="61" t="s">
        <v>673</v>
      </c>
      <c r="O114" s="61" t="s">
        <v>677</v>
      </c>
      <c r="P114" s="37"/>
      <c r="Q114" s="37" t="s">
        <v>679</v>
      </c>
      <c r="R114" s="60"/>
    </row>
    <row r="115" spans="1:18" s="7" customFormat="1" ht="60">
      <c r="A115" s="48"/>
      <c r="B115" s="45"/>
      <c r="C115" s="38"/>
      <c r="D115" s="31" t="s">
        <v>25</v>
      </c>
      <c r="E115" s="31" t="s">
        <v>91</v>
      </c>
      <c r="F115" s="38"/>
      <c r="G115" s="34">
        <v>1</v>
      </c>
      <c r="H115" s="34">
        <v>1</v>
      </c>
      <c r="I115" s="34">
        <v>5</v>
      </c>
      <c r="J115" s="35">
        <f t="shared" si="49"/>
        <v>5</v>
      </c>
      <c r="K115" s="35">
        <v>1</v>
      </c>
      <c r="L115" s="34">
        <f t="shared" si="50"/>
        <v>5</v>
      </c>
      <c r="M115" s="42" t="s">
        <v>574</v>
      </c>
      <c r="N115" s="61" t="s">
        <v>673</v>
      </c>
      <c r="O115" s="61" t="s">
        <v>677</v>
      </c>
      <c r="P115" s="37"/>
      <c r="Q115" s="37" t="s">
        <v>679</v>
      </c>
      <c r="R115" s="60"/>
    </row>
    <row r="116" spans="1:18" s="7" customFormat="1" ht="60">
      <c r="A116" s="48"/>
      <c r="B116" s="45"/>
      <c r="C116" s="38"/>
      <c r="D116" s="31" t="s">
        <v>27</v>
      </c>
      <c r="E116" s="31" t="s">
        <v>80</v>
      </c>
      <c r="F116" s="38" t="str">
        <f t="shared" ref="F116:F121" si="51">IF($C116&lt;&gt;"",C116,"")</f>
        <v/>
      </c>
      <c r="G116" s="34">
        <v>1</v>
      </c>
      <c r="H116" s="34">
        <v>1</v>
      </c>
      <c r="I116" s="34">
        <v>5</v>
      </c>
      <c r="J116" s="35">
        <f t="shared" si="49"/>
        <v>5</v>
      </c>
      <c r="K116" s="35">
        <v>1</v>
      </c>
      <c r="L116" s="34">
        <f t="shared" si="50"/>
        <v>5</v>
      </c>
      <c r="M116" s="42" t="s">
        <v>602</v>
      </c>
      <c r="N116" s="61" t="s">
        <v>676</v>
      </c>
      <c r="O116" s="61" t="s">
        <v>678</v>
      </c>
      <c r="P116" s="37"/>
      <c r="Q116" s="37" t="s">
        <v>680</v>
      </c>
      <c r="R116" s="60"/>
    </row>
    <row r="117" spans="1:18" s="7" customFormat="1" ht="60">
      <c r="A117" s="48"/>
      <c r="B117" s="45"/>
      <c r="C117" s="38"/>
      <c r="D117" s="31" t="s">
        <v>32</v>
      </c>
      <c r="E117" s="31" t="s">
        <v>91</v>
      </c>
      <c r="F117" s="38" t="str">
        <f t="shared" si="51"/>
        <v/>
      </c>
      <c r="G117" s="34">
        <v>1</v>
      </c>
      <c r="H117" s="34">
        <v>1</v>
      </c>
      <c r="I117" s="34">
        <v>5</v>
      </c>
      <c r="J117" s="35">
        <f t="shared" si="49"/>
        <v>5</v>
      </c>
      <c r="K117" s="35">
        <v>1</v>
      </c>
      <c r="L117" s="34">
        <f t="shared" si="50"/>
        <v>5</v>
      </c>
      <c r="M117" s="42" t="s">
        <v>603</v>
      </c>
      <c r="N117" s="61" t="s">
        <v>676</v>
      </c>
      <c r="O117" s="61" t="s">
        <v>678</v>
      </c>
      <c r="P117" s="37"/>
      <c r="Q117" s="37" t="s">
        <v>680</v>
      </c>
      <c r="R117" s="60"/>
    </row>
    <row r="118" spans="1:18" s="7" customFormat="1" ht="45">
      <c r="A118" s="48"/>
      <c r="B118" s="45"/>
      <c r="C118" s="38"/>
      <c r="D118" s="31" t="s">
        <v>19</v>
      </c>
      <c r="E118" s="31" t="s">
        <v>70</v>
      </c>
      <c r="F118" s="38" t="str">
        <f t="shared" si="51"/>
        <v/>
      </c>
      <c r="G118" s="34">
        <v>1</v>
      </c>
      <c r="H118" s="34">
        <v>1</v>
      </c>
      <c r="I118" s="34">
        <v>5</v>
      </c>
      <c r="J118" s="35">
        <f t="shared" si="49"/>
        <v>5</v>
      </c>
      <c r="K118" s="35">
        <v>1</v>
      </c>
      <c r="L118" s="34">
        <f t="shared" si="50"/>
        <v>5</v>
      </c>
      <c r="M118" s="42" t="s">
        <v>610</v>
      </c>
      <c r="N118" s="61" t="s">
        <v>673</v>
      </c>
      <c r="O118" s="61" t="s">
        <v>685</v>
      </c>
      <c r="P118" s="37"/>
      <c r="Q118" s="37" t="s">
        <v>679</v>
      </c>
      <c r="R118" s="60"/>
    </row>
    <row r="119" spans="1:18" s="7" customFormat="1" ht="60">
      <c r="A119" s="48"/>
      <c r="B119" s="45"/>
      <c r="C119" s="38"/>
      <c r="D119" s="31" t="s">
        <v>10</v>
      </c>
      <c r="E119" s="31" t="s">
        <v>67</v>
      </c>
      <c r="F119" s="38" t="str">
        <f t="shared" si="51"/>
        <v/>
      </c>
      <c r="G119" s="34">
        <v>1</v>
      </c>
      <c r="H119" s="34">
        <v>1</v>
      </c>
      <c r="I119" s="34">
        <v>5</v>
      </c>
      <c r="J119" s="35">
        <f t="shared" si="49"/>
        <v>5</v>
      </c>
      <c r="K119" s="35">
        <v>1</v>
      </c>
      <c r="L119" s="41">
        <f t="shared" si="50"/>
        <v>5</v>
      </c>
      <c r="M119" s="42" t="s">
        <v>621</v>
      </c>
      <c r="N119" s="61" t="s">
        <v>673</v>
      </c>
      <c r="O119" s="61" t="s">
        <v>685</v>
      </c>
      <c r="P119" s="37"/>
      <c r="Q119" s="37" t="s">
        <v>679</v>
      </c>
      <c r="R119" s="60"/>
    </row>
    <row r="120" spans="1:18" s="7" customFormat="1" ht="60">
      <c r="A120" s="48"/>
      <c r="B120" s="45"/>
      <c r="C120" s="38"/>
      <c r="D120" s="31" t="s">
        <v>50</v>
      </c>
      <c r="E120" s="30" t="s">
        <v>72</v>
      </c>
      <c r="F120" s="38" t="str">
        <f t="shared" si="51"/>
        <v/>
      </c>
      <c r="G120" s="34">
        <v>1</v>
      </c>
      <c r="H120" s="34">
        <v>1</v>
      </c>
      <c r="I120" s="34">
        <v>5</v>
      </c>
      <c r="J120" s="35">
        <f t="shared" si="49"/>
        <v>5</v>
      </c>
      <c r="K120" s="35">
        <v>1</v>
      </c>
      <c r="L120" s="41">
        <f t="shared" si="50"/>
        <v>5</v>
      </c>
      <c r="M120" s="42" t="s">
        <v>612</v>
      </c>
      <c r="N120" s="61" t="s">
        <v>673</v>
      </c>
      <c r="O120" s="61" t="s">
        <v>683</v>
      </c>
      <c r="P120" s="37"/>
      <c r="Q120" s="37" t="s">
        <v>679</v>
      </c>
      <c r="R120" s="60"/>
    </row>
    <row r="121" spans="1:18" s="7" customFormat="1">
      <c r="A121" s="49"/>
      <c r="B121" s="46"/>
      <c r="C121" s="39"/>
      <c r="D121" s="31"/>
      <c r="E121" s="31"/>
      <c r="F121" s="39" t="str">
        <f t="shared" si="51"/>
        <v/>
      </c>
      <c r="G121" s="34"/>
      <c r="H121" s="34"/>
      <c r="I121" s="34"/>
      <c r="J121" s="35" t="str">
        <f t="shared" si="49"/>
        <v/>
      </c>
      <c r="K121" s="35"/>
      <c r="L121" s="41" t="str">
        <f t="shared" si="50"/>
        <v/>
      </c>
      <c r="M121" s="42"/>
      <c r="N121" s="60"/>
      <c r="O121" s="60"/>
      <c r="P121" s="37"/>
      <c r="Q121" s="37"/>
      <c r="R121" s="60"/>
    </row>
    <row r="122" spans="1:18" s="7" customFormat="1" ht="69.75" customHeight="1">
      <c r="A122" s="47">
        <v>11</v>
      </c>
      <c r="B122" s="44" t="s">
        <v>644</v>
      </c>
      <c r="C122" s="37" t="s">
        <v>434</v>
      </c>
      <c r="D122" s="31" t="s">
        <v>112</v>
      </c>
      <c r="E122" s="31" t="s">
        <v>649</v>
      </c>
      <c r="F122" s="37" t="s">
        <v>435</v>
      </c>
      <c r="G122" s="34">
        <v>5</v>
      </c>
      <c r="H122" s="34">
        <v>5</v>
      </c>
      <c r="I122" s="34">
        <v>5</v>
      </c>
      <c r="J122" s="35">
        <f>IF(MAX(G122:I122)=0,"",MAX(G122:I122))</f>
        <v>5</v>
      </c>
      <c r="K122" s="35">
        <v>1</v>
      </c>
      <c r="L122" s="34">
        <f>IFERROR(J122*K122,"")</f>
        <v>5</v>
      </c>
      <c r="M122" s="42" t="s">
        <v>571</v>
      </c>
      <c r="N122" s="61" t="s">
        <v>673</v>
      </c>
      <c r="O122" s="61" t="s">
        <v>685</v>
      </c>
      <c r="P122" s="37"/>
      <c r="Q122" s="37" t="s">
        <v>679</v>
      </c>
      <c r="R122" s="60"/>
    </row>
    <row r="123" spans="1:18" s="7" customFormat="1" ht="75">
      <c r="A123" s="48"/>
      <c r="B123" s="45"/>
      <c r="C123" s="38"/>
      <c r="D123" s="31" t="s">
        <v>36</v>
      </c>
      <c r="E123" s="31" t="s">
        <v>67</v>
      </c>
      <c r="F123" s="38" t="str">
        <f>IF($C123&lt;&gt;"",C123,"")</f>
        <v/>
      </c>
      <c r="G123" s="34">
        <v>1</v>
      </c>
      <c r="H123" s="34">
        <v>1</v>
      </c>
      <c r="I123" s="34">
        <v>5</v>
      </c>
      <c r="J123" s="35">
        <f t="shared" ref="J123:J133" si="52">IF(MAX(G123:I123)=0,"",MAX(G123:I123))</f>
        <v>5</v>
      </c>
      <c r="K123" s="35">
        <v>1</v>
      </c>
      <c r="L123" s="34">
        <f t="shared" ref="L123:L133" si="53">IFERROR(J123*K123,"")</f>
        <v>5</v>
      </c>
      <c r="M123" s="42" t="s">
        <v>618</v>
      </c>
      <c r="N123" s="61" t="s">
        <v>673</v>
      </c>
      <c r="O123" s="61" t="s">
        <v>672</v>
      </c>
      <c r="P123" s="37"/>
      <c r="Q123" s="37" t="s">
        <v>679</v>
      </c>
      <c r="R123" s="60"/>
    </row>
    <row r="124" spans="1:18" s="7" customFormat="1" ht="60">
      <c r="A124" s="48"/>
      <c r="B124" s="45"/>
      <c r="C124" s="38"/>
      <c r="D124" s="31" t="s">
        <v>25</v>
      </c>
      <c r="E124" s="31" t="s">
        <v>69</v>
      </c>
      <c r="F124" s="38" t="str">
        <f>IF($C124&lt;&gt;"",C124,"")</f>
        <v/>
      </c>
      <c r="G124" s="34">
        <v>1</v>
      </c>
      <c r="H124" s="34">
        <v>1</v>
      </c>
      <c r="I124" s="34">
        <v>5</v>
      </c>
      <c r="J124" s="35">
        <f t="shared" si="52"/>
        <v>5</v>
      </c>
      <c r="K124" s="35">
        <v>1</v>
      </c>
      <c r="L124" s="34">
        <f t="shared" si="53"/>
        <v>5</v>
      </c>
      <c r="M124" s="42" t="s">
        <v>607</v>
      </c>
      <c r="N124" s="61" t="s">
        <v>673</v>
      </c>
      <c r="O124" s="61" t="s">
        <v>677</v>
      </c>
      <c r="P124" s="37"/>
      <c r="Q124" s="37" t="s">
        <v>679</v>
      </c>
      <c r="R124" s="60"/>
    </row>
    <row r="125" spans="1:18" s="7" customFormat="1" ht="60">
      <c r="A125" s="48"/>
      <c r="B125" s="45"/>
      <c r="C125" s="38"/>
      <c r="D125" s="31" t="s">
        <v>25</v>
      </c>
      <c r="E125" s="31" t="s">
        <v>81</v>
      </c>
      <c r="F125" s="38"/>
      <c r="G125" s="34">
        <v>1</v>
      </c>
      <c r="H125" s="34">
        <v>1</v>
      </c>
      <c r="I125" s="34">
        <v>5</v>
      </c>
      <c r="J125" s="35">
        <f t="shared" si="52"/>
        <v>5</v>
      </c>
      <c r="K125" s="35">
        <v>1</v>
      </c>
      <c r="L125" s="34">
        <f t="shared" si="53"/>
        <v>5</v>
      </c>
      <c r="M125" s="42" t="s">
        <v>619</v>
      </c>
      <c r="N125" s="61" t="s">
        <v>673</v>
      </c>
      <c r="O125" s="61" t="s">
        <v>677</v>
      </c>
      <c r="P125" s="37"/>
      <c r="Q125" s="37" t="s">
        <v>679</v>
      </c>
      <c r="R125" s="60"/>
    </row>
    <row r="126" spans="1:18" s="7" customFormat="1" ht="60">
      <c r="A126" s="48"/>
      <c r="B126" s="45"/>
      <c r="C126" s="38"/>
      <c r="D126" s="31" t="s">
        <v>25</v>
      </c>
      <c r="E126" s="31" t="s">
        <v>90</v>
      </c>
      <c r="F126" s="38"/>
      <c r="G126" s="34">
        <v>1</v>
      </c>
      <c r="H126" s="34">
        <v>1</v>
      </c>
      <c r="I126" s="34">
        <v>5</v>
      </c>
      <c r="J126" s="35">
        <f t="shared" si="52"/>
        <v>5</v>
      </c>
      <c r="K126" s="35">
        <v>1</v>
      </c>
      <c r="L126" s="34">
        <f t="shared" si="53"/>
        <v>5</v>
      </c>
      <c r="M126" s="42" t="s">
        <v>620</v>
      </c>
      <c r="N126" s="61" t="s">
        <v>673</v>
      </c>
      <c r="O126" s="61" t="s">
        <v>677</v>
      </c>
      <c r="P126" s="37"/>
      <c r="Q126" s="37" t="s">
        <v>679</v>
      </c>
      <c r="R126" s="60"/>
    </row>
    <row r="127" spans="1:18" s="7" customFormat="1" ht="60">
      <c r="A127" s="48"/>
      <c r="B127" s="45"/>
      <c r="C127" s="38"/>
      <c r="D127" s="31" t="s">
        <v>25</v>
      </c>
      <c r="E127" s="31" t="s">
        <v>91</v>
      </c>
      <c r="F127" s="38"/>
      <c r="G127" s="34">
        <v>1</v>
      </c>
      <c r="H127" s="34">
        <v>1</v>
      </c>
      <c r="I127" s="34">
        <v>5</v>
      </c>
      <c r="J127" s="35">
        <f t="shared" si="52"/>
        <v>5</v>
      </c>
      <c r="K127" s="35">
        <v>1</v>
      </c>
      <c r="L127" s="34">
        <f t="shared" si="53"/>
        <v>5</v>
      </c>
      <c r="M127" s="42" t="s">
        <v>574</v>
      </c>
      <c r="N127" s="61" t="s">
        <v>673</v>
      </c>
      <c r="O127" s="61" t="s">
        <v>677</v>
      </c>
      <c r="P127" s="37"/>
      <c r="Q127" s="37" t="s">
        <v>679</v>
      </c>
      <c r="R127" s="60"/>
    </row>
    <row r="128" spans="1:18" s="7" customFormat="1" ht="60">
      <c r="A128" s="48"/>
      <c r="B128" s="45"/>
      <c r="C128" s="38"/>
      <c r="D128" s="31" t="s">
        <v>27</v>
      </c>
      <c r="E128" s="31" t="s">
        <v>80</v>
      </c>
      <c r="F128" s="38" t="str">
        <f t="shared" ref="F128:F133" si="54">IF($C128&lt;&gt;"",C128,"")</f>
        <v/>
      </c>
      <c r="G128" s="34">
        <v>1</v>
      </c>
      <c r="H128" s="34">
        <v>1</v>
      </c>
      <c r="I128" s="34">
        <v>5</v>
      </c>
      <c r="J128" s="35">
        <f t="shared" si="52"/>
        <v>5</v>
      </c>
      <c r="K128" s="35">
        <v>1</v>
      </c>
      <c r="L128" s="34">
        <f t="shared" si="53"/>
        <v>5</v>
      </c>
      <c r="M128" s="42" t="s">
        <v>602</v>
      </c>
      <c r="N128" s="61" t="s">
        <v>676</v>
      </c>
      <c r="O128" s="61" t="s">
        <v>678</v>
      </c>
      <c r="P128" s="37"/>
      <c r="Q128" s="37" t="s">
        <v>680</v>
      </c>
      <c r="R128" s="60"/>
    </row>
    <row r="129" spans="1:18" s="7" customFormat="1" ht="60">
      <c r="A129" s="48"/>
      <c r="B129" s="45"/>
      <c r="C129" s="38"/>
      <c r="D129" s="31" t="s">
        <v>32</v>
      </c>
      <c r="E129" s="31" t="s">
        <v>91</v>
      </c>
      <c r="F129" s="38" t="str">
        <f t="shared" si="54"/>
        <v/>
      </c>
      <c r="G129" s="34">
        <v>1</v>
      </c>
      <c r="H129" s="34">
        <v>1</v>
      </c>
      <c r="I129" s="34">
        <v>5</v>
      </c>
      <c r="J129" s="35">
        <f t="shared" si="52"/>
        <v>5</v>
      </c>
      <c r="K129" s="35">
        <v>1</v>
      </c>
      <c r="L129" s="34">
        <f t="shared" si="53"/>
        <v>5</v>
      </c>
      <c r="M129" s="42" t="s">
        <v>603</v>
      </c>
      <c r="N129" s="61" t="s">
        <v>676</v>
      </c>
      <c r="O129" s="61" t="s">
        <v>678</v>
      </c>
      <c r="P129" s="37"/>
      <c r="Q129" s="37" t="s">
        <v>680</v>
      </c>
      <c r="R129" s="60"/>
    </row>
    <row r="130" spans="1:18" s="7" customFormat="1" ht="45">
      <c r="A130" s="48"/>
      <c r="B130" s="45"/>
      <c r="C130" s="38"/>
      <c r="D130" s="31" t="s">
        <v>19</v>
      </c>
      <c r="E130" s="31" t="s">
        <v>70</v>
      </c>
      <c r="F130" s="38" t="str">
        <f t="shared" si="54"/>
        <v/>
      </c>
      <c r="G130" s="34">
        <v>1</v>
      </c>
      <c r="H130" s="34">
        <v>1</v>
      </c>
      <c r="I130" s="34">
        <v>5</v>
      </c>
      <c r="J130" s="35">
        <f t="shared" si="52"/>
        <v>5</v>
      </c>
      <c r="K130" s="35">
        <v>1</v>
      </c>
      <c r="L130" s="34">
        <f t="shared" si="53"/>
        <v>5</v>
      </c>
      <c r="M130" s="42" t="s">
        <v>610</v>
      </c>
      <c r="N130" s="61" t="s">
        <v>673</v>
      </c>
      <c r="O130" s="61" t="s">
        <v>685</v>
      </c>
      <c r="P130" s="37"/>
      <c r="Q130" s="37" t="s">
        <v>679</v>
      </c>
      <c r="R130" s="60"/>
    </row>
    <row r="131" spans="1:18" s="7" customFormat="1" ht="60">
      <c r="A131" s="48"/>
      <c r="B131" s="45"/>
      <c r="C131" s="38"/>
      <c r="D131" s="31" t="s">
        <v>10</v>
      </c>
      <c r="E131" s="31" t="s">
        <v>67</v>
      </c>
      <c r="F131" s="38" t="str">
        <f t="shared" si="54"/>
        <v/>
      </c>
      <c r="G131" s="34">
        <v>1</v>
      </c>
      <c r="H131" s="34">
        <v>1</v>
      </c>
      <c r="I131" s="34">
        <v>5</v>
      </c>
      <c r="J131" s="35">
        <f t="shared" si="52"/>
        <v>5</v>
      </c>
      <c r="K131" s="35">
        <v>1</v>
      </c>
      <c r="L131" s="41">
        <f t="shared" si="53"/>
        <v>5</v>
      </c>
      <c r="M131" s="42" t="s">
        <v>621</v>
      </c>
      <c r="N131" s="61" t="s">
        <v>673</v>
      </c>
      <c r="O131" s="61" t="s">
        <v>685</v>
      </c>
      <c r="P131" s="37"/>
      <c r="Q131" s="37" t="s">
        <v>679</v>
      </c>
      <c r="R131" s="60"/>
    </row>
    <row r="132" spans="1:18" s="7" customFormat="1" ht="60">
      <c r="A132" s="48"/>
      <c r="B132" s="45"/>
      <c r="C132" s="38"/>
      <c r="D132" s="31" t="s">
        <v>50</v>
      </c>
      <c r="E132" s="30" t="s">
        <v>72</v>
      </c>
      <c r="F132" s="38" t="str">
        <f t="shared" si="54"/>
        <v/>
      </c>
      <c r="G132" s="34">
        <v>1</v>
      </c>
      <c r="H132" s="34">
        <v>1</v>
      </c>
      <c r="I132" s="34">
        <v>5</v>
      </c>
      <c r="J132" s="35">
        <f t="shared" si="52"/>
        <v>5</v>
      </c>
      <c r="K132" s="35">
        <v>1</v>
      </c>
      <c r="L132" s="41">
        <f t="shared" si="53"/>
        <v>5</v>
      </c>
      <c r="M132" s="42" t="s">
        <v>612</v>
      </c>
      <c r="N132" s="61" t="s">
        <v>673</v>
      </c>
      <c r="O132" s="61" t="s">
        <v>683</v>
      </c>
      <c r="P132" s="37"/>
      <c r="Q132" s="37" t="s">
        <v>679</v>
      </c>
      <c r="R132" s="60"/>
    </row>
    <row r="133" spans="1:18" s="7" customFormat="1">
      <c r="A133" s="49"/>
      <c r="B133" s="46"/>
      <c r="C133" s="39"/>
      <c r="D133" s="31"/>
      <c r="E133" s="31"/>
      <c r="F133" s="39" t="str">
        <f t="shared" si="54"/>
        <v/>
      </c>
      <c r="G133" s="34"/>
      <c r="H133" s="34"/>
      <c r="I133" s="34"/>
      <c r="J133" s="35" t="str">
        <f t="shared" si="52"/>
        <v/>
      </c>
      <c r="K133" s="35"/>
      <c r="L133" s="41" t="str">
        <f t="shared" si="53"/>
        <v/>
      </c>
      <c r="M133" s="42"/>
      <c r="N133" s="60"/>
      <c r="O133" s="60"/>
      <c r="P133" s="37"/>
      <c r="Q133" s="37"/>
      <c r="R133" s="60"/>
    </row>
    <row r="134" spans="1:18" s="7" customFormat="1" ht="69.75" customHeight="1">
      <c r="A134" s="47">
        <v>12</v>
      </c>
      <c r="B134" s="44" t="s">
        <v>642</v>
      </c>
      <c r="C134" s="37" t="s">
        <v>434</v>
      </c>
      <c r="D134" s="31" t="s">
        <v>112</v>
      </c>
      <c r="E134" s="31" t="s">
        <v>650</v>
      </c>
      <c r="F134" s="37" t="s">
        <v>435</v>
      </c>
      <c r="G134" s="34">
        <v>5</v>
      </c>
      <c r="H134" s="34">
        <v>5</v>
      </c>
      <c r="I134" s="34">
        <v>5</v>
      </c>
      <c r="J134" s="35">
        <f>IF(MAX(G134:I134)=0,"",MAX(G134:I134))</f>
        <v>5</v>
      </c>
      <c r="K134" s="35">
        <v>1</v>
      </c>
      <c r="L134" s="34">
        <f>IFERROR(J134*K134,"")</f>
        <v>5</v>
      </c>
      <c r="M134" s="42" t="s">
        <v>571</v>
      </c>
      <c r="N134" s="61" t="s">
        <v>673</v>
      </c>
      <c r="O134" s="61" t="s">
        <v>685</v>
      </c>
      <c r="P134" s="37"/>
      <c r="Q134" s="37" t="s">
        <v>679</v>
      </c>
      <c r="R134" s="60"/>
    </row>
    <row r="135" spans="1:18" s="7" customFormat="1" ht="75">
      <c r="A135" s="48"/>
      <c r="B135" s="45"/>
      <c r="C135" s="38"/>
      <c r="D135" s="31" t="s">
        <v>36</v>
      </c>
      <c r="E135" s="31" t="s">
        <v>67</v>
      </c>
      <c r="F135" s="38" t="str">
        <f>IF($C135&lt;&gt;"",C135,"")</f>
        <v/>
      </c>
      <c r="G135" s="34">
        <v>1</v>
      </c>
      <c r="H135" s="34">
        <v>1</v>
      </c>
      <c r="I135" s="34">
        <v>5</v>
      </c>
      <c r="J135" s="35">
        <f t="shared" ref="J135" si="55">IF(MAX(G135:I135)=0,"",MAX(G135:I135))</f>
        <v>5</v>
      </c>
      <c r="K135" s="35">
        <v>1</v>
      </c>
      <c r="L135" s="34">
        <f t="shared" ref="L135" si="56">IFERROR(J135*K135,"")</f>
        <v>5</v>
      </c>
      <c r="M135" s="42" t="s">
        <v>618</v>
      </c>
      <c r="N135" s="61" t="s">
        <v>673</v>
      </c>
      <c r="O135" s="61" t="s">
        <v>672</v>
      </c>
      <c r="P135" s="37"/>
      <c r="Q135" s="37" t="s">
        <v>679</v>
      </c>
      <c r="R135" s="60"/>
    </row>
    <row r="136" spans="1:18" s="7" customFormat="1" ht="60">
      <c r="A136" s="48"/>
      <c r="B136" s="45"/>
      <c r="C136" s="38"/>
      <c r="D136" s="31" t="s">
        <v>10</v>
      </c>
      <c r="E136" s="31" t="s">
        <v>67</v>
      </c>
      <c r="F136" s="38" t="str">
        <f t="shared" ref="F136:F137" si="57">IF($C136&lt;&gt;"",C136,"")</f>
        <v/>
      </c>
      <c r="G136" s="34">
        <v>1</v>
      </c>
      <c r="H136" s="34">
        <v>1</v>
      </c>
      <c r="I136" s="34">
        <v>5</v>
      </c>
      <c r="J136" s="35">
        <f t="shared" ref="J136:J137" si="58">IF(MAX(G136:I136)=0,"",MAX(G136:I136))</f>
        <v>5</v>
      </c>
      <c r="K136" s="35">
        <v>1</v>
      </c>
      <c r="L136" s="41">
        <f t="shared" ref="L136:L137" si="59">IFERROR(J136*K136,"")</f>
        <v>5</v>
      </c>
      <c r="M136" s="42" t="s">
        <v>621</v>
      </c>
      <c r="N136" s="61" t="s">
        <v>673</v>
      </c>
      <c r="O136" s="61" t="s">
        <v>677</v>
      </c>
      <c r="P136" s="37"/>
      <c r="Q136" s="37" t="s">
        <v>679</v>
      </c>
      <c r="R136" s="60"/>
    </row>
    <row r="137" spans="1:18" s="7" customFormat="1" ht="60">
      <c r="A137" s="48"/>
      <c r="B137" s="45"/>
      <c r="C137" s="38"/>
      <c r="D137" s="31" t="s">
        <v>50</v>
      </c>
      <c r="E137" s="30" t="s">
        <v>72</v>
      </c>
      <c r="F137" s="38" t="str">
        <f t="shared" si="57"/>
        <v/>
      </c>
      <c r="G137" s="34">
        <v>1</v>
      </c>
      <c r="H137" s="34">
        <v>1</v>
      </c>
      <c r="I137" s="34">
        <v>5</v>
      </c>
      <c r="J137" s="35">
        <f t="shared" si="58"/>
        <v>5</v>
      </c>
      <c r="K137" s="35">
        <v>1</v>
      </c>
      <c r="L137" s="41">
        <f t="shared" si="59"/>
        <v>5</v>
      </c>
      <c r="M137" s="42" t="s">
        <v>612</v>
      </c>
      <c r="N137" s="61" t="s">
        <v>673</v>
      </c>
      <c r="O137" s="61" t="s">
        <v>677</v>
      </c>
      <c r="P137" s="37"/>
      <c r="Q137" s="37" t="s">
        <v>679</v>
      </c>
      <c r="R137" s="60"/>
    </row>
    <row r="138" spans="1:18" s="7" customFormat="1" ht="69.75" customHeight="1">
      <c r="A138" s="47">
        <v>13</v>
      </c>
      <c r="B138" s="44" t="s">
        <v>638</v>
      </c>
      <c r="C138" s="37" t="s">
        <v>434</v>
      </c>
      <c r="D138" s="31" t="s">
        <v>112</v>
      </c>
      <c r="E138" s="31" t="s">
        <v>650</v>
      </c>
      <c r="F138" s="37" t="s">
        <v>435</v>
      </c>
      <c r="G138" s="34">
        <v>5</v>
      </c>
      <c r="H138" s="34">
        <v>5</v>
      </c>
      <c r="I138" s="34">
        <v>5</v>
      </c>
      <c r="J138" s="35">
        <f>IF(MAX(G138:I138)=0,"",MAX(G138:I138))</f>
        <v>5</v>
      </c>
      <c r="K138" s="35">
        <v>1</v>
      </c>
      <c r="L138" s="34">
        <f>IFERROR(J138*K138,"")</f>
        <v>5</v>
      </c>
      <c r="M138" s="42" t="s">
        <v>571</v>
      </c>
      <c r="N138" s="61" t="s">
        <v>673</v>
      </c>
      <c r="O138" s="61" t="s">
        <v>685</v>
      </c>
      <c r="P138" s="37"/>
      <c r="Q138" s="37" t="s">
        <v>679</v>
      </c>
      <c r="R138" s="60"/>
    </row>
    <row r="139" spans="1:18" s="7" customFormat="1" ht="75">
      <c r="A139" s="48"/>
      <c r="B139" s="45"/>
      <c r="C139" s="38"/>
      <c r="D139" s="31" t="s">
        <v>36</v>
      </c>
      <c r="E139" s="31" t="s">
        <v>67</v>
      </c>
      <c r="F139" s="38" t="str">
        <f>IF($C139&lt;&gt;"",C139,"")</f>
        <v/>
      </c>
      <c r="G139" s="34">
        <v>1</v>
      </c>
      <c r="H139" s="34">
        <v>1</v>
      </c>
      <c r="I139" s="34">
        <v>5</v>
      </c>
      <c r="J139" s="35">
        <f t="shared" ref="J139:J141" si="60">IF(MAX(G139:I139)=0,"",MAX(G139:I139))</f>
        <v>5</v>
      </c>
      <c r="K139" s="35">
        <v>1</v>
      </c>
      <c r="L139" s="34">
        <f t="shared" ref="L139:L141" si="61">IFERROR(J139*K139,"")</f>
        <v>5</v>
      </c>
      <c r="M139" s="42" t="s">
        <v>618</v>
      </c>
      <c r="N139" s="61" t="s">
        <v>673</v>
      </c>
      <c r="O139" s="61" t="s">
        <v>672</v>
      </c>
      <c r="P139" s="37"/>
      <c r="Q139" s="37" t="s">
        <v>679</v>
      </c>
      <c r="R139" s="60"/>
    </row>
    <row r="140" spans="1:18" s="7" customFormat="1" ht="60">
      <c r="A140" s="48"/>
      <c r="B140" s="45"/>
      <c r="C140" s="38"/>
      <c r="D140" s="31" t="s">
        <v>10</v>
      </c>
      <c r="E140" s="31" t="s">
        <v>67</v>
      </c>
      <c r="F140" s="38" t="str">
        <f t="shared" ref="F140:F141" si="62">IF($C140&lt;&gt;"",C140,"")</f>
        <v/>
      </c>
      <c r="G140" s="34">
        <v>1</v>
      </c>
      <c r="H140" s="34">
        <v>1</v>
      </c>
      <c r="I140" s="34">
        <v>5</v>
      </c>
      <c r="J140" s="35">
        <f t="shared" si="60"/>
        <v>5</v>
      </c>
      <c r="K140" s="35">
        <v>1</v>
      </c>
      <c r="L140" s="41">
        <f t="shared" si="61"/>
        <v>5</v>
      </c>
      <c r="M140" s="42" t="s">
        <v>621</v>
      </c>
      <c r="N140" s="61" t="s">
        <v>673</v>
      </c>
      <c r="O140" s="61" t="s">
        <v>677</v>
      </c>
      <c r="P140" s="37"/>
      <c r="Q140" s="37" t="s">
        <v>680</v>
      </c>
      <c r="R140" s="60"/>
    </row>
    <row r="141" spans="1:18" s="7" customFormat="1" ht="60">
      <c r="A141" s="48"/>
      <c r="B141" s="45"/>
      <c r="C141" s="38"/>
      <c r="D141" s="31" t="s">
        <v>50</v>
      </c>
      <c r="E141" s="30" t="s">
        <v>72</v>
      </c>
      <c r="F141" s="38" t="str">
        <f t="shared" si="62"/>
        <v/>
      </c>
      <c r="G141" s="34">
        <v>1</v>
      </c>
      <c r="H141" s="34">
        <v>1</v>
      </c>
      <c r="I141" s="34">
        <v>5</v>
      </c>
      <c r="J141" s="35">
        <f t="shared" si="60"/>
        <v>5</v>
      </c>
      <c r="K141" s="35">
        <v>1</v>
      </c>
      <c r="L141" s="41">
        <f t="shared" si="61"/>
        <v>5</v>
      </c>
      <c r="M141" s="42" t="s">
        <v>612</v>
      </c>
      <c r="N141" s="61" t="s">
        <v>673</v>
      </c>
      <c r="O141" s="61" t="s">
        <v>677</v>
      </c>
      <c r="P141" s="37"/>
      <c r="Q141" s="37" t="s">
        <v>680</v>
      </c>
      <c r="R141" s="60"/>
    </row>
    <row r="142" spans="1:18" s="7" customFormat="1" ht="69.75" customHeight="1">
      <c r="A142" s="47">
        <v>14</v>
      </c>
      <c r="B142" s="44" t="s">
        <v>630</v>
      </c>
      <c r="C142" s="37" t="s">
        <v>434</v>
      </c>
      <c r="D142" s="31" t="s">
        <v>112</v>
      </c>
      <c r="E142" s="31" t="s">
        <v>651</v>
      </c>
      <c r="F142" s="37" t="s">
        <v>435</v>
      </c>
      <c r="G142" s="34">
        <v>1</v>
      </c>
      <c r="H142" s="34">
        <v>5</v>
      </c>
      <c r="I142" s="34">
        <v>5</v>
      </c>
      <c r="J142" s="35">
        <f>IF(MAX(G142:I142)=0,"",MAX(G142:I142))</f>
        <v>5</v>
      </c>
      <c r="K142" s="35">
        <v>1</v>
      </c>
      <c r="L142" s="34">
        <f>IFERROR(J142*K142,"")</f>
        <v>5</v>
      </c>
      <c r="M142" s="42" t="s">
        <v>571</v>
      </c>
      <c r="N142" s="61" t="s">
        <v>673</v>
      </c>
      <c r="O142" s="61" t="s">
        <v>685</v>
      </c>
      <c r="P142" s="37"/>
      <c r="Q142" s="37" t="s">
        <v>679</v>
      </c>
      <c r="R142" s="60"/>
    </row>
    <row r="143" spans="1:18" s="7" customFormat="1" ht="75">
      <c r="A143" s="48"/>
      <c r="B143" s="45"/>
      <c r="C143" s="38"/>
      <c r="D143" s="31" t="s">
        <v>36</v>
      </c>
      <c r="E143" s="31" t="s">
        <v>67</v>
      </c>
      <c r="F143" s="38" t="str">
        <f>IF($C143&lt;&gt;"",C143,"")</f>
        <v/>
      </c>
      <c r="G143" s="34">
        <v>1</v>
      </c>
      <c r="H143" s="34">
        <v>1</v>
      </c>
      <c r="I143" s="34">
        <v>5</v>
      </c>
      <c r="J143" s="35">
        <f t="shared" ref="J143:J145" si="63">IF(MAX(G143:I143)=0,"",MAX(G143:I143))</f>
        <v>5</v>
      </c>
      <c r="K143" s="35">
        <v>1</v>
      </c>
      <c r="L143" s="34">
        <f t="shared" ref="L143:L145" si="64">IFERROR(J143*K143,"")</f>
        <v>5</v>
      </c>
      <c r="M143" s="42" t="s">
        <v>618</v>
      </c>
      <c r="N143" s="61" t="s">
        <v>673</v>
      </c>
      <c r="O143" s="61" t="s">
        <v>672</v>
      </c>
      <c r="P143" s="37"/>
      <c r="Q143" s="37" t="s">
        <v>679</v>
      </c>
      <c r="R143" s="60"/>
    </row>
    <row r="144" spans="1:18" s="7" customFormat="1" ht="60">
      <c r="A144" s="48"/>
      <c r="B144" s="45"/>
      <c r="C144" s="38"/>
      <c r="D144" s="31" t="s">
        <v>10</v>
      </c>
      <c r="E144" s="31" t="s">
        <v>67</v>
      </c>
      <c r="F144" s="38" t="str">
        <f t="shared" ref="F144:F145" si="65">IF($C144&lt;&gt;"",C144,"")</f>
        <v/>
      </c>
      <c r="G144" s="34">
        <v>1</v>
      </c>
      <c r="H144" s="34">
        <v>1</v>
      </c>
      <c r="I144" s="34">
        <v>5</v>
      </c>
      <c r="J144" s="35">
        <f t="shared" si="63"/>
        <v>5</v>
      </c>
      <c r="K144" s="35">
        <v>1</v>
      </c>
      <c r="L144" s="41">
        <f t="shared" si="64"/>
        <v>5</v>
      </c>
      <c r="M144" s="42" t="s">
        <v>621</v>
      </c>
      <c r="N144" s="61" t="s">
        <v>673</v>
      </c>
      <c r="O144" s="61" t="s">
        <v>677</v>
      </c>
      <c r="P144" s="37"/>
      <c r="Q144" s="37" t="s">
        <v>679</v>
      </c>
      <c r="R144" s="60"/>
    </row>
    <row r="145" spans="1:18" s="7" customFormat="1" ht="60">
      <c r="A145" s="48"/>
      <c r="B145" s="45"/>
      <c r="C145" s="38"/>
      <c r="D145" s="31" t="s">
        <v>50</v>
      </c>
      <c r="E145" s="30" t="s">
        <v>72</v>
      </c>
      <c r="F145" s="38" t="str">
        <f t="shared" si="65"/>
        <v/>
      </c>
      <c r="G145" s="34">
        <v>1</v>
      </c>
      <c r="H145" s="34">
        <v>1</v>
      </c>
      <c r="I145" s="34">
        <v>5</v>
      </c>
      <c r="J145" s="35">
        <f t="shared" si="63"/>
        <v>5</v>
      </c>
      <c r="K145" s="35">
        <v>1</v>
      </c>
      <c r="L145" s="41">
        <f t="shared" si="64"/>
        <v>5</v>
      </c>
      <c r="M145" s="42" t="s">
        <v>612</v>
      </c>
      <c r="N145" s="61" t="s">
        <v>673</v>
      </c>
      <c r="O145" s="61" t="s">
        <v>677</v>
      </c>
      <c r="P145" s="37"/>
      <c r="Q145" s="37" t="s">
        <v>679</v>
      </c>
      <c r="R145" s="60"/>
    </row>
    <row r="146" spans="1:18" s="7" customFormat="1" ht="69.75" customHeight="1">
      <c r="A146" s="47">
        <v>15</v>
      </c>
      <c r="B146" s="44" t="s">
        <v>560</v>
      </c>
      <c r="C146" s="37" t="s">
        <v>434</v>
      </c>
      <c r="D146" s="31" t="s">
        <v>112</v>
      </c>
      <c r="E146" s="31" t="s">
        <v>652</v>
      </c>
      <c r="F146" s="37" t="s">
        <v>435</v>
      </c>
      <c r="G146" s="34">
        <v>5</v>
      </c>
      <c r="H146" s="34">
        <v>5</v>
      </c>
      <c r="I146" s="34">
        <v>5</v>
      </c>
      <c r="J146" s="35">
        <f>IF(MAX(G146:I146)=0,"",MAX(G146:I146))</f>
        <v>5</v>
      </c>
      <c r="K146" s="35">
        <v>1</v>
      </c>
      <c r="L146" s="34">
        <f>IFERROR(J146*K146,"")</f>
        <v>5</v>
      </c>
      <c r="M146" s="42" t="s">
        <v>571</v>
      </c>
      <c r="N146" s="61" t="s">
        <v>673</v>
      </c>
      <c r="O146" s="61" t="s">
        <v>685</v>
      </c>
      <c r="P146" s="37"/>
      <c r="Q146" s="37" t="s">
        <v>679</v>
      </c>
      <c r="R146" s="60"/>
    </row>
    <row r="147" spans="1:18" s="7" customFormat="1" ht="75">
      <c r="A147" s="48"/>
      <c r="B147" s="45"/>
      <c r="C147" s="38"/>
      <c r="D147" s="31" t="s">
        <v>36</v>
      </c>
      <c r="E147" s="31" t="s">
        <v>67</v>
      </c>
      <c r="F147" s="38" t="str">
        <f>IF($C147&lt;&gt;"",C147,"")</f>
        <v/>
      </c>
      <c r="G147" s="34">
        <v>1</v>
      </c>
      <c r="H147" s="34">
        <v>1</v>
      </c>
      <c r="I147" s="34">
        <v>5</v>
      </c>
      <c r="J147" s="35">
        <f t="shared" ref="J147:J149" si="66">IF(MAX(G147:I147)=0,"",MAX(G147:I147))</f>
        <v>5</v>
      </c>
      <c r="K147" s="35">
        <v>1</v>
      </c>
      <c r="L147" s="34">
        <f t="shared" ref="L147:L149" si="67">IFERROR(J147*K147,"")</f>
        <v>5</v>
      </c>
      <c r="M147" s="42" t="s">
        <v>618</v>
      </c>
      <c r="N147" s="61" t="s">
        <v>673</v>
      </c>
      <c r="O147" s="61" t="s">
        <v>672</v>
      </c>
      <c r="P147" s="37"/>
      <c r="Q147" s="37" t="s">
        <v>679</v>
      </c>
      <c r="R147" s="60"/>
    </row>
    <row r="148" spans="1:18" s="7" customFormat="1" ht="60">
      <c r="A148" s="48"/>
      <c r="B148" s="45"/>
      <c r="C148" s="38"/>
      <c r="D148" s="31" t="s">
        <v>10</v>
      </c>
      <c r="E148" s="31" t="s">
        <v>67</v>
      </c>
      <c r="F148" s="38" t="str">
        <f t="shared" ref="F148:F149" si="68">IF($C148&lt;&gt;"",C148,"")</f>
        <v/>
      </c>
      <c r="G148" s="34">
        <v>1</v>
      </c>
      <c r="H148" s="34">
        <v>1</v>
      </c>
      <c r="I148" s="34">
        <v>5</v>
      </c>
      <c r="J148" s="35">
        <f t="shared" si="66"/>
        <v>5</v>
      </c>
      <c r="K148" s="35">
        <v>1</v>
      </c>
      <c r="L148" s="41">
        <f t="shared" si="67"/>
        <v>5</v>
      </c>
      <c r="M148" s="42" t="s">
        <v>621</v>
      </c>
      <c r="N148" s="61" t="s">
        <v>673</v>
      </c>
      <c r="O148" s="61" t="s">
        <v>677</v>
      </c>
      <c r="P148" s="37"/>
      <c r="Q148" s="37" t="s">
        <v>679</v>
      </c>
      <c r="R148" s="60"/>
    </row>
    <row r="149" spans="1:18" s="7" customFormat="1" ht="60">
      <c r="A149" s="48"/>
      <c r="B149" s="45"/>
      <c r="C149" s="38"/>
      <c r="D149" s="31" t="s">
        <v>50</v>
      </c>
      <c r="E149" s="30" t="s">
        <v>72</v>
      </c>
      <c r="F149" s="38" t="str">
        <f t="shared" si="68"/>
        <v/>
      </c>
      <c r="G149" s="34">
        <v>1</v>
      </c>
      <c r="H149" s="34">
        <v>1</v>
      </c>
      <c r="I149" s="34">
        <v>5</v>
      </c>
      <c r="J149" s="35">
        <f t="shared" si="66"/>
        <v>5</v>
      </c>
      <c r="K149" s="35">
        <v>1</v>
      </c>
      <c r="L149" s="41">
        <f t="shared" si="67"/>
        <v>5</v>
      </c>
      <c r="M149" s="42" t="s">
        <v>612</v>
      </c>
      <c r="N149" s="61" t="s">
        <v>673</v>
      </c>
      <c r="O149" s="61" t="s">
        <v>677</v>
      </c>
      <c r="P149" s="37"/>
      <c r="Q149" s="37" t="s">
        <v>679</v>
      </c>
      <c r="R149" s="60"/>
    </row>
    <row r="150" spans="1:18" s="7" customFormat="1" ht="135">
      <c r="A150" s="47">
        <v>16</v>
      </c>
      <c r="B150" s="44" t="s">
        <v>636</v>
      </c>
      <c r="C150" s="37" t="s">
        <v>434</v>
      </c>
      <c r="D150" s="31" t="s">
        <v>112</v>
      </c>
      <c r="E150" s="31" t="s">
        <v>653</v>
      </c>
      <c r="F150" s="37" t="s">
        <v>435</v>
      </c>
      <c r="G150" s="34">
        <v>5</v>
      </c>
      <c r="H150" s="34">
        <v>5</v>
      </c>
      <c r="I150" s="34">
        <v>5</v>
      </c>
      <c r="J150" s="35">
        <f>IF(MAX(G150:I150)=0,"",MAX(G150:I150))</f>
        <v>5</v>
      </c>
      <c r="K150" s="35">
        <v>1</v>
      </c>
      <c r="L150" s="34">
        <f>IFERROR(J150*K150,"")</f>
        <v>5</v>
      </c>
      <c r="M150" s="42" t="s">
        <v>596</v>
      </c>
      <c r="N150" s="61" t="s">
        <v>673</v>
      </c>
      <c r="O150" s="61" t="s">
        <v>685</v>
      </c>
      <c r="P150" s="37"/>
      <c r="Q150" s="37" t="s">
        <v>679</v>
      </c>
      <c r="R150" s="60"/>
    </row>
    <row r="151" spans="1:18" s="7" customFormat="1" ht="75">
      <c r="A151" s="48"/>
      <c r="B151" s="45"/>
      <c r="C151" s="38"/>
      <c r="D151" s="31" t="s">
        <v>25</v>
      </c>
      <c r="E151" s="31" t="s">
        <v>67</v>
      </c>
      <c r="F151" s="38" t="str">
        <f>IF($C151&lt;&gt;"",C151,"")</f>
        <v/>
      </c>
      <c r="G151" s="34">
        <v>1</v>
      </c>
      <c r="H151" s="34">
        <v>1</v>
      </c>
      <c r="I151" s="34">
        <v>5</v>
      </c>
      <c r="J151" s="35">
        <f t="shared" ref="J151:J157" si="69">IF(MAX(G151:I151)=0,"",MAX(G151:I151))</f>
        <v>5</v>
      </c>
      <c r="K151" s="35">
        <v>1</v>
      </c>
      <c r="L151" s="34">
        <f t="shared" ref="L151:L157" si="70">IFERROR(J151*K151,"")</f>
        <v>5</v>
      </c>
      <c r="M151" s="42" t="s">
        <v>594</v>
      </c>
      <c r="N151" s="61" t="s">
        <v>673</v>
      </c>
      <c r="O151" s="61" t="s">
        <v>677</v>
      </c>
      <c r="P151" s="37"/>
      <c r="Q151" s="37" t="s">
        <v>679</v>
      </c>
      <c r="R151" s="60"/>
    </row>
    <row r="152" spans="1:18" s="7" customFormat="1" ht="60">
      <c r="A152" s="48"/>
      <c r="B152" s="45"/>
      <c r="C152" s="38"/>
      <c r="D152" s="31" t="s">
        <v>25</v>
      </c>
      <c r="E152" s="31" t="s">
        <v>69</v>
      </c>
      <c r="F152" s="38" t="str">
        <f>IF($C152&lt;&gt;"",C152,"")</f>
        <v/>
      </c>
      <c r="G152" s="34">
        <v>1</v>
      </c>
      <c r="H152" s="34">
        <v>1</v>
      </c>
      <c r="I152" s="34">
        <v>5</v>
      </c>
      <c r="J152" s="35">
        <f t="shared" si="69"/>
        <v>5</v>
      </c>
      <c r="K152" s="35">
        <v>1</v>
      </c>
      <c r="L152" s="34">
        <f t="shared" si="70"/>
        <v>5</v>
      </c>
      <c r="M152" s="42" t="s">
        <v>590</v>
      </c>
      <c r="N152" s="61" t="s">
        <v>673</v>
      </c>
      <c r="O152" s="61" t="s">
        <v>677</v>
      </c>
      <c r="P152" s="37"/>
      <c r="Q152" s="37" t="s">
        <v>679</v>
      </c>
      <c r="R152" s="60"/>
    </row>
    <row r="153" spans="1:18" s="7" customFormat="1" ht="60">
      <c r="A153" s="48"/>
      <c r="B153" s="45"/>
      <c r="C153" s="38"/>
      <c r="D153" s="31" t="s">
        <v>25</v>
      </c>
      <c r="E153" s="31" t="s">
        <v>81</v>
      </c>
      <c r="F153" s="38"/>
      <c r="G153" s="34">
        <v>1</v>
      </c>
      <c r="H153" s="34">
        <v>1</v>
      </c>
      <c r="I153" s="34">
        <v>5</v>
      </c>
      <c r="J153" s="35">
        <f t="shared" si="69"/>
        <v>5</v>
      </c>
      <c r="K153" s="35">
        <v>1</v>
      </c>
      <c r="L153" s="34">
        <f t="shared" si="70"/>
        <v>5</v>
      </c>
      <c r="M153" s="42" t="s">
        <v>591</v>
      </c>
      <c r="N153" s="61" t="s">
        <v>673</v>
      </c>
      <c r="O153" s="61" t="s">
        <v>677</v>
      </c>
      <c r="P153" s="37"/>
      <c r="Q153" s="37" t="s">
        <v>679</v>
      </c>
      <c r="R153" s="60"/>
    </row>
    <row r="154" spans="1:18" s="7" customFormat="1" ht="60">
      <c r="A154" s="48"/>
      <c r="B154" s="45"/>
      <c r="C154" s="38"/>
      <c r="D154" s="31" t="s">
        <v>25</v>
      </c>
      <c r="E154" s="31" t="s">
        <v>90</v>
      </c>
      <c r="F154" s="38"/>
      <c r="G154" s="34">
        <v>1</v>
      </c>
      <c r="H154" s="34">
        <v>1</v>
      </c>
      <c r="I154" s="34">
        <v>5</v>
      </c>
      <c r="J154" s="35">
        <f t="shared" si="69"/>
        <v>5</v>
      </c>
      <c r="K154" s="35">
        <v>1</v>
      </c>
      <c r="L154" s="34">
        <f t="shared" si="70"/>
        <v>5</v>
      </c>
      <c r="M154" s="42" t="s">
        <v>584</v>
      </c>
      <c r="N154" s="61" t="s">
        <v>673</v>
      </c>
      <c r="O154" s="61" t="s">
        <v>677</v>
      </c>
      <c r="P154" s="37"/>
      <c r="Q154" s="37" t="s">
        <v>679</v>
      </c>
      <c r="R154" s="60"/>
    </row>
    <row r="155" spans="1:18" s="7" customFormat="1" ht="60">
      <c r="A155" s="48"/>
      <c r="B155" s="45"/>
      <c r="C155" s="38"/>
      <c r="D155" s="31" t="s">
        <v>25</v>
      </c>
      <c r="E155" s="31" t="s">
        <v>91</v>
      </c>
      <c r="F155" s="38"/>
      <c r="G155" s="34">
        <v>1</v>
      </c>
      <c r="H155" s="34">
        <v>1</v>
      </c>
      <c r="I155" s="34">
        <v>5</v>
      </c>
      <c r="J155" s="35">
        <f t="shared" si="69"/>
        <v>5</v>
      </c>
      <c r="K155" s="35">
        <v>1</v>
      </c>
      <c r="L155" s="34">
        <f t="shared" si="70"/>
        <v>5</v>
      </c>
      <c r="M155" s="42" t="s">
        <v>585</v>
      </c>
      <c r="N155" s="61" t="s">
        <v>673</v>
      </c>
      <c r="O155" s="61" t="s">
        <v>677</v>
      </c>
      <c r="P155" s="37"/>
      <c r="Q155" s="37" t="s">
        <v>679</v>
      </c>
      <c r="R155" s="60"/>
    </row>
    <row r="156" spans="1:18" s="7" customFormat="1" ht="60">
      <c r="A156" s="48"/>
      <c r="B156" s="45"/>
      <c r="C156" s="38"/>
      <c r="D156" s="31" t="s">
        <v>38</v>
      </c>
      <c r="E156" s="31" t="s">
        <v>68</v>
      </c>
      <c r="F156" s="38" t="str">
        <f t="shared" ref="F156:F157" si="71">IF($C156&lt;&gt;"",C156,"")</f>
        <v/>
      </c>
      <c r="G156" s="34">
        <v>5</v>
      </c>
      <c r="H156" s="34">
        <v>1</v>
      </c>
      <c r="I156" s="34">
        <v>1</v>
      </c>
      <c r="J156" s="35">
        <f t="shared" si="69"/>
        <v>5</v>
      </c>
      <c r="K156" s="35">
        <v>1</v>
      </c>
      <c r="L156" s="41">
        <f t="shared" si="70"/>
        <v>5</v>
      </c>
      <c r="M156" s="42" t="s">
        <v>587</v>
      </c>
      <c r="N156" s="61" t="s">
        <v>673</v>
      </c>
      <c r="O156" s="60" t="s">
        <v>682</v>
      </c>
      <c r="P156" s="37"/>
      <c r="Q156" s="37" t="s">
        <v>679</v>
      </c>
      <c r="R156" s="60"/>
    </row>
    <row r="157" spans="1:18" s="7" customFormat="1" ht="75">
      <c r="A157" s="48"/>
      <c r="B157" s="45"/>
      <c r="C157" s="38"/>
      <c r="D157" s="31" t="s">
        <v>38</v>
      </c>
      <c r="E157" s="31" t="s">
        <v>72</v>
      </c>
      <c r="F157" s="38" t="str">
        <f t="shared" si="71"/>
        <v/>
      </c>
      <c r="G157" s="34">
        <v>5</v>
      </c>
      <c r="H157" s="34">
        <v>5</v>
      </c>
      <c r="I157" s="34">
        <v>5</v>
      </c>
      <c r="J157" s="35">
        <f t="shared" si="69"/>
        <v>5</v>
      </c>
      <c r="K157" s="35">
        <v>1</v>
      </c>
      <c r="L157" s="41">
        <f t="shared" si="70"/>
        <v>5</v>
      </c>
      <c r="M157" s="42" t="s">
        <v>577</v>
      </c>
      <c r="N157" s="61" t="s">
        <v>673</v>
      </c>
      <c r="O157" s="60" t="s">
        <v>683</v>
      </c>
      <c r="P157" s="37"/>
      <c r="Q157" s="37" t="s">
        <v>679</v>
      </c>
      <c r="R157" s="60"/>
    </row>
    <row r="158" spans="1:18" s="7" customFormat="1" ht="69.75" customHeight="1">
      <c r="A158" s="47">
        <v>17</v>
      </c>
      <c r="B158" s="44" t="s">
        <v>637</v>
      </c>
      <c r="C158" s="37" t="s">
        <v>434</v>
      </c>
      <c r="D158" s="31" t="s">
        <v>112</v>
      </c>
      <c r="E158" s="31" t="s">
        <v>654</v>
      </c>
      <c r="F158" s="37" t="s">
        <v>435</v>
      </c>
      <c r="G158" s="34">
        <v>1</v>
      </c>
      <c r="H158" s="34">
        <v>1</v>
      </c>
      <c r="I158" s="34">
        <v>3</v>
      </c>
      <c r="J158" s="35">
        <f>IF(MAX(G158:I158)=0,"",MAX(G158:I158))</f>
        <v>3</v>
      </c>
      <c r="K158" s="35">
        <v>1</v>
      </c>
      <c r="L158" s="34">
        <f>IFERROR(J158*K158,"")</f>
        <v>3</v>
      </c>
      <c r="M158" s="42" t="s">
        <v>571</v>
      </c>
      <c r="N158" s="61" t="s">
        <v>673</v>
      </c>
      <c r="O158" s="61" t="s">
        <v>685</v>
      </c>
      <c r="P158" s="37"/>
      <c r="Q158" s="37" t="s">
        <v>679</v>
      </c>
      <c r="R158" s="60"/>
    </row>
    <row r="159" spans="1:18" s="7" customFormat="1" ht="75">
      <c r="A159" s="48"/>
      <c r="B159" s="45"/>
      <c r="C159" s="38"/>
      <c r="D159" s="31" t="s">
        <v>36</v>
      </c>
      <c r="E159" s="31" t="s">
        <v>67</v>
      </c>
      <c r="F159" s="38" t="str">
        <f>IF($C159&lt;&gt;"",C159,"")</f>
        <v/>
      </c>
      <c r="G159" s="34">
        <v>1</v>
      </c>
      <c r="H159" s="34">
        <v>1</v>
      </c>
      <c r="I159" s="34">
        <v>3</v>
      </c>
      <c r="J159" s="35">
        <f t="shared" ref="J159:J161" si="72">IF(MAX(G159:I159)=0,"",MAX(G159:I159))</f>
        <v>3</v>
      </c>
      <c r="K159" s="35">
        <v>1</v>
      </c>
      <c r="L159" s="34">
        <f t="shared" ref="L159:L161" si="73">IFERROR(J159*K159,"")</f>
        <v>3</v>
      </c>
      <c r="M159" s="42" t="s">
        <v>618</v>
      </c>
      <c r="N159" s="61" t="s">
        <v>673</v>
      </c>
      <c r="O159" s="61" t="s">
        <v>672</v>
      </c>
      <c r="P159" s="37"/>
      <c r="Q159" s="37" t="s">
        <v>679</v>
      </c>
      <c r="R159" s="60"/>
    </row>
    <row r="160" spans="1:18" s="7" customFormat="1" ht="60">
      <c r="A160" s="48"/>
      <c r="B160" s="45"/>
      <c r="C160" s="38"/>
      <c r="D160" s="31" t="s">
        <v>10</v>
      </c>
      <c r="E160" s="31" t="s">
        <v>67</v>
      </c>
      <c r="F160" s="38" t="str">
        <f t="shared" ref="F160:F161" si="74">IF($C160&lt;&gt;"",C160,"")</f>
        <v/>
      </c>
      <c r="G160" s="34">
        <v>1</v>
      </c>
      <c r="H160" s="34">
        <v>1</v>
      </c>
      <c r="I160" s="34">
        <v>3</v>
      </c>
      <c r="J160" s="35">
        <f t="shared" si="72"/>
        <v>3</v>
      </c>
      <c r="K160" s="35">
        <v>1</v>
      </c>
      <c r="L160" s="41">
        <f t="shared" si="73"/>
        <v>3</v>
      </c>
      <c r="M160" s="42" t="s">
        <v>621</v>
      </c>
      <c r="N160" s="61" t="s">
        <v>673</v>
      </c>
      <c r="O160" s="61" t="s">
        <v>677</v>
      </c>
      <c r="P160" s="37"/>
      <c r="Q160" s="37" t="s">
        <v>679</v>
      </c>
      <c r="R160" s="60"/>
    </row>
    <row r="161" spans="1:18" s="7" customFormat="1" ht="60">
      <c r="A161" s="48"/>
      <c r="B161" s="45"/>
      <c r="C161" s="38"/>
      <c r="D161" s="31" t="s">
        <v>50</v>
      </c>
      <c r="E161" s="30" t="s">
        <v>72</v>
      </c>
      <c r="F161" s="38" t="str">
        <f t="shared" si="74"/>
        <v/>
      </c>
      <c r="G161" s="34">
        <v>1</v>
      </c>
      <c r="H161" s="34">
        <v>1</v>
      </c>
      <c r="I161" s="34">
        <v>3</v>
      </c>
      <c r="J161" s="35">
        <f t="shared" si="72"/>
        <v>3</v>
      </c>
      <c r="K161" s="35">
        <v>1</v>
      </c>
      <c r="L161" s="41">
        <f t="shared" si="73"/>
        <v>3</v>
      </c>
      <c r="M161" s="42" t="s">
        <v>612</v>
      </c>
      <c r="N161" s="61" t="s">
        <v>673</v>
      </c>
      <c r="O161" s="61" t="s">
        <v>683</v>
      </c>
      <c r="P161" s="37"/>
      <c r="Q161" s="37" t="s">
        <v>679</v>
      </c>
      <c r="R161" s="60"/>
    </row>
    <row r="162" spans="1:18" s="7" customFormat="1" ht="69.75" customHeight="1">
      <c r="A162" s="47">
        <v>18</v>
      </c>
      <c r="B162" s="44" t="s">
        <v>633</v>
      </c>
      <c r="C162" s="37" t="s">
        <v>434</v>
      </c>
      <c r="D162" s="31" t="s">
        <v>112</v>
      </c>
      <c r="E162" s="31" t="s">
        <v>655</v>
      </c>
      <c r="F162" s="37" t="s">
        <v>435</v>
      </c>
      <c r="G162" s="34">
        <v>5</v>
      </c>
      <c r="H162" s="34">
        <v>5</v>
      </c>
      <c r="I162" s="34">
        <v>5</v>
      </c>
      <c r="J162" s="35">
        <f>IF(MAX(G162:I162)=0,"",MAX(G162:I162))</f>
        <v>5</v>
      </c>
      <c r="K162" s="35">
        <v>1</v>
      </c>
      <c r="L162" s="34">
        <f>IFERROR(J162*K162,"")</f>
        <v>5</v>
      </c>
      <c r="M162" s="42" t="s">
        <v>571</v>
      </c>
      <c r="N162" s="61" t="s">
        <v>673</v>
      </c>
      <c r="O162" s="61" t="s">
        <v>685</v>
      </c>
      <c r="P162" s="37"/>
      <c r="Q162" s="37" t="s">
        <v>679</v>
      </c>
      <c r="R162" s="60"/>
    </row>
    <row r="163" spans="1:18" s="7" customFormat="1" ht="75">
      <c r="A163" s="48"/>
      <c r="B163" s="45"/>
      <c r="C163" s="38"/>
      <c r="D163" s="31" t="s">
        <v>36</v>
      </c>
      <c r="E163" s="31" t="s">
        <v>67</v>
      </c>
      <c r="F163" s="38" t="str">
        <f>IF($C163&lt;&gt;"",C163,"")</f>
        <v/>
      </c>
      <c r="G163" s="34">
        <v>1</v>
      </c>
      <c r="H163" s="34">
        <v>1</v>
      </c>
      <c r="I163" s="34">
        <v>3</v>
      </c>
      <c r="J163" s="35">
        <f t="shared" ref="J163:J165" si="75">IF(MAX(G163:I163)=0,"",MAX(G163:I163))</f>
        <v>3</v>
      </c>
      <c r="K163" s="35">
        <v>1</v>
      </c>
      <c r="L163" s="34">
        <f t="shared" ref="L163:L165" si="76">IFERROR(J163*K163,"")</f>
        <v>3</v>
      </c>
      <c r="M163" s="42" t="s">
        <v>618</v>
      </c>
      <c r="N163" s="61" t="s">
        <v>673</v>
      </c>
      <c r="O163" s="61" t="s">
        <v>672</v>
      </c>
      <c r="P163" s="37"/>
      <c r="Q163" s="37" t="s">
        <v>679</v>
      </c>
      <c r="R163" s="60"/>
    </row>
    <row r="164" spans="1:18" s="7" customFormat="1" ht="60">
      <c r="A164" s="48"/>
      <c r="B164" s="45"/>
      <c r="C164" s="38"/>
      <c r="D164" s="31" t="s">
        <v>10</v>
      </c>
      <c r="E164" s="31" t="s">
        <v>67</v>
      </c>
      <c r="F164" s="38" t="str">
        <f t="shared" ref="F164:F165" si="77">IF($C164&lt;&gt;"",C164,"")</f>
        <v/>
      </c>
      <c r="G164" s="34">
        <v>1</v>
      </c>
      <c r="H164" s="34">
        <v>1</v>
      </c>
      <c r="I164" s="34">
        <v>3</v>
      </c>
      <c r="J164" s="35">
        <f t="shared" si="75"/>
        <v>3</v>
      </c>
      <c r="K164" s="35">
        <v>1</v>
      </c>
      <c r="L164" s="41">
        <f t="shared" si="76"/>
        <v>3</v>
      </c>
      <c r="M164" s="42" t="s">
        <v>621</v>
      </c>
      <c r="N164" s="61" t="s">
        <v>673</v>
      </c>
      <c r="O164" s="61" t="s">
        <v>677</v>
      </c>
      <c r="P164" s="37"/>
      <c r="Q164" s="37" t="s">
        <v>679</v>
      </c>
      <c r="R164" s="60"/>
    </row>
    <row r="165" spans="1:18" s="7" customFormat="1" ht="60">
      <c r="A165" s="48"/>
      <c r="B165" s="45"/>
      <c r="C165" s="38"/>
      <c r="D165" s="31" t="s">
        <v>50</v>
      </c>
      <c r="E165" s="30" t="s">
        <v>72</v>
      </c>
      <c r="F165" s="38" t="str">
        <f t="shared" si="77"/>
        <v/>
      </c>
      <c r="G165" s="34">
        <v>1</v>
      </c>
      <c r="H165" s="34">
        <v>1</v>
      </c>
      <c r="I165" s="34">
        <v>3</v>
      </c>
      <c r="J165" s="35">
        <f t="shared" si="75"/>
        <v>3</v>
      </c>
      <c r="K165" s="35">
        <v>1</v>
      </c>
      <c r="L165" s="41">
        <f t="shared" si="76"/>
        <v>3</v>
      </c>
      <c r="M165" s="42" t="s">
        <v>612</v>
      </c>
      <c r="N165" s="61" t="s">
        <v>673</v>
      </c>
      <c r="O165" s="61" t="s">
        <v>683</v>
      </c>
      <c r="P165" s="37"/>
      <c r="Q165" s="37" t="s">
        <v>679</v>
      </c>
      <c r="R165" s="60"/>
    </row>
    <row r="166" spans="1:18" s="7" customFormat="1" ht="69.75" customHeight="1">
      <c r="A166" s="47">
        <v>19</v>
      </c>
      <c r="B166" s="44" t="s">
        <v>635</v>
      </c>
      <c r="C166" s="37" t="s">
        <v>434</v>
      </c>
      <c r="D166" s="31" t="s">
        <v>112</v>
      </c>
      <c r="E166" s="31" t="s">
        <v>655</v>
      </c>
      <c r="F166" s="37" t="s">
        <v>435</v>
      </c>
      <c r="G166" s="34">
        <v>5</v>
      </c>
      <c r="H166" s="34">
        <v>5</v>
      </c>
      <c r="I166" s="34">
        <v>5</v>
      </c>
      <c r="J166" s="35">
        <f>IF(MAX(G166:I166)=0,"",MAX(G166:I166))</f>
        <v>5</v>
      </c>
      <c r="K166" s="35">
        <v>1</v>
      </c>
      <c r="L166" s="34">
        <f>IFERROR(J166*K166,"")</f>
        <v>5</v>
      </c>
      <c r="M166" s="42" t="s">
        <v>571</v>
      </c>
      <c r="N166" s="61" t="s">
        <v>673</v>
      </c>
      <c r="O166" s="61" t="s">
        <v>685</v>
      </c>
      <c r="P166" s="37"/>
      <c r="Q166" s="37" t="s">
        <v>679</v>
      </c>
      <c r="R166" s="60"/>
    </row>
    <row r="167" spans="1:18" s="7" customFormat="1" ht="75">
      <c r="A167" s="48"/>
      <c r="B167" s="45"/>
      <c r="C167" s="38"/>
      <c r="D167" s="31" t="s">
        <v>36</v>
      </c>
      <c r="E167" s="31" t="s">
        <v>67</v>
      </c>
      <c r="F167" s="38" t="str">
        <f>IF($C167&lt;&gt;"",C167,"")</f>
        <v/>
      </c>
      <c r="G167" s="34">
        <v>1</v>
      </c>
      <c r="H167" s="34">
        <v>1</v>
      </c>
      <c r="I167" s="34">
        <v>3</v>
      </c>
      <c r="J167" s="35">
        <f t="shared" ref="J167:J169" si="78">IF(MAX(G167:I167)=0,"",MAX(G167:I167))</f>
        <v>3</v>
      </c>
      <c r="K167" s="35">
        <v>1</v>
      </c>
      <c r="L167" s="34">
        <f t="shared" ref="L167:L169" si="79">IFERROR(J167*K167,"")</f>
        <v>3</v>
      </c>
      <c r="M167" s="42" t="s">
        <v>618</v>
      </c>
      <c r="N167" s="61" t="s">
        <v>673</v>
      </c>
      <c r="O167" s="61" t="s">
        <v>672</v>
      </c>
      <c r="P167" s="37"/>
      <c r="Q167" s="37" t="s">
        <v>679</v>
      </c>
      <c r="R167" s="60"/>
    </row>
    <row r="168" spans="1:18" s="7" customFormat="1" ht="60">
      <c r="A168" s="48"/>
      <c r="B168" s="45"/>
      <c r="C168" s="38"/>
      <c r="D168" s="31" t="s">
        <v>10</v>
      </c>
      <c r="E168" s="31" t="s">
        <v>67</v>
      </c>
      <c r="F168" s="38" t="str">
        <f t="shared" ref="F168:F169" si="80">IF($C168&lt;&gt;"",C168,"")</f>
        <v/>
      </c>
      <c r="G168" s="34">
        <v>1</v>
      </c>
      <c r="H168" s="34">
        <v>1</v>
      </c>
      <c r="I168" s="34">
        <v>3</v>
      </c>
      <c r="J168" s="35">
        <f t="shared" si="78"/>
        <v>3</v>
      </c>
      <c r="K168" s="35">
        <v>1</v>
      </c>
      <c r="L168" s="41">
        <f t="shared" si="79"/>
        <v>3</v>
      </c>
      <c r="M168" s="42" t="s">
        <v>621</v>
      </c>
      <c r="N168" s="61" t="s">
        <v>673</v>
      </c>
      <c r="O168" s="61" t="s">
        <v>677</v>
      </c>
      <c r="P168" s="37"/>
      <c r="Q168" s="37" t="s">
        <v>679</v>
      </c>
      <c r="R168" s="60"/>
    </row>
    <row r="169" spans="1:18" s="7" customFormat="1" ht="60">
      <c r="A169" s="48"/>
      <c r="B169" s="45"/>
      <c r="C169" s="38"/>
      <c r="D169" s="31" t="s">
        <v>50</v>
      </c>
      <c r="E169" s="30" t="s">
        <v>72</v>
      </c>
      <c r="F169" s="38" t="str">
        <f t="shared" si="80"/>
        <v/>
      </c>
      <c r="G169" s="34">
        <v>1</v>
      </c>
      <c r="H169" s="34">
        <v>1</v>
      </c>
      <c r="I169" s="34">
        <v>3</v>
      </c>
      <c r="J169" s="35">
        <f t="shared" si="78"/>
        <v>3</v>
      </c>
      <c r="K169" s="35">
        <v>1</v>
      </c>
      <c r="L169" s="41">
        <f t="shared" si="79"/>
        <v>3</v>
      </c>
      <c r="M169" s="42" t="s">
        <v>612</v>
      </c>
      <c r="N169" s="61" t="s">
        <v>673</v>
      </c>
      <c r="O169" s="61" t="s">
        <v>683</v>
      </c>
      <c r="P169" s="37"/>
      <c r="Q169" s="37" t="s">
        <v>679</v>
      </c>
      <c r="R169" s="60"/>
    </row>
    <row r="170" spans="1:18" s="7" customFormat="1" ht="69.75" customHeight="1">
      <c r="A170" s="47">
        <v>20</v>
      </c>
      <c r="B170" s="44" t="s">
        <v>646</v>
      </c>
      <c r="C170" s="37" t="s">
        <v>434</v>
      </c>
      <c r="D170" s="31" t="s">
        <v>112</v>
      </c>
      <c r="E170" s="31" t="s">
        <v>655</v>
      </c>
      <c r="F170" s="37" t="s">
        <v>435</v>
      </c>
      <c r="G170" s="34">
        <v>5</v>
      </c>
      <c r="H170" s="34">
        <v>5</v>
      </c>
      <c r="I170" s="34">
        <v>5</v>
      </c>
      <c r="J170" s="35">
        <f>IF(MAX(G170:I170)=0,"",MAX(G170:I170))</f>
        <v>5</v>
      </c>
      <c r="K170" s="35">
        <v>1</v>
      </c>
      <c r="L170" s="34">
        <f>IFERROR(J170*K170,"")</f>
        <v>5</v>
      </c>
      <c r="M170" s="42" t="s">
        <v>571</v>
      </c>
      <c r="N170" s="61" t="s">
        <v>673</v>
      </c>
      <c r="O170" s="61" t="s">
        <v>685</v>
      </c>
      <c r="P170" s="37"/>
      <c r="Q170" s="37" t="s">
        <v>679</v>
      </c>
      <c r="R170" s="60"/>
    </row>
    <row r="171" spans="1:18" s="7" customFormat="1" ht="75">
      <c r="A171" s="48"/>
      <c r="B171" s="45"/>
      <c r="C171" s="38"/>
      <c r="D171" s="31" t="s">
        <v>36</v>
      </c>
      <c r="E171" s="31" t="s">
        <v>67</v>
      </c>
      <c r="F171" s="38" t="str">
        <f>IF($C171&lt;&gt;"",C171,"")</f>
        <v/>
      </c>
      <c r="G171" s="34">
        <v>1</v>
      </c>
      <c r="H171" s="34">
        <v>1</v>
      </c>
      <c r="I171" s="34">
        <v>3</v>
      </c>
      <c r="J171" s="35">
        <f t="shared" ref="J171:J173" si="81">IF(MAX(G171:I171)=0,"",MAX(G171:I171))</f>
        <v>3</v>
      </c>
      <c r="K171" s="35">
        <v>1</v>
      </c>
      <c r="L171" s="34">
        <f t="shared" ref="L171:L173" si="82">IFERROR(J171*K171,"")</f>
        <v>3</v>
      </c>
      <c r="M171" s="42" t="s">
        <v>618</v>
      </c>
      <c r="N171" s="61" t="s">
        <v>673</v>
      </c>
      <c r="O171" s="61" t="s">
        <v>672</v>
      </c>
      <c r="P171" s="37"/>
      <c r="Q171" s="37" t="s">
        <v>679</v>
      </c>
      <c r="R171" s="60"/>
    </row>
    <row r="172" spans="1:18" s="7" customFormat="1" ht="60">
      <c r="A172" s="48"/>
      <c r="B172" s="45"/>
      <c r="C172" s="38"/>
      <c r="D172" s="31" t="s">
        <v>10</v>
      </c>
      <c r="E172" s="31" t="s">
        <v>67</v>
      </c>
      <c r="F172" s="38" t="str">
        <f t="shared" ref="F172:F173" si="83">IF($C172&lt;&gt;"",C172,"")</f>
        <v/>
      </c>
      <c r="G172" s="34">
        <v>1</v>
      </c>
      <c r="H172" s="34">
        <v>1</v>
      </c>
      <c r="I172" s="34">
        <v>3</v>
      </c>
      <c r="J172" s="35">
        <f t="shared" si="81"/>
        <v>3</v>
      </c>
      <c r="K172" s="35">
        <v>1</v>
      </c>
      <c r="L172" s="41">
        <f t="shared" si="82"/>
        <v>3</v>
      </c>
      <c r="M172" s="42" t="s">
        <v>621</v>
      </c>
      <c r="N172" s="61" t="s">
        <v>673</v>
      </c>
      <c r="O172" s="61" t="s">
        <v>677</v>
      </c>
      <c r="P172" s="37"/>
      <c r="Q172" s="37" t="s">
        <v>679</v>
      </c>
      <c r="R172" s="60"/>
    </row>
    <row r="173" spans="1:18" s="7" customFormat="1" ht="60">
      <c r="A173" s="48"/>
      <c r="B173" s="45"/>
      <c r="C173" s="38"/>
      <c r="D173" s="31" t="s">
        <v>50</v>
      </c>
      <c r="E173" s="30" t="s">
        <v>72</v>
      </c>
      <c r="F173" s="38" t="str">
        <f t="shared" si="83"/>
        <v/>
      </c>
      <c r="G173" s="34">
        <v>1</v>
      </c>
      <c r="H173" s="34">
        <v>1</v>
      </c>
      <c r="I173" s="34">
        <v>3</v>
      </c>
      <c r="J173" s="35">
        <f t="shared" si="81"/>
        <v>3</v>
      </c>
      <c r="K173" s="35">
        <v>1</v>
      </c>
      <c r="L173" s="41">
        <f t="shared" si="82"/>
        <v>3</v>
      </c>
      <c r="M173" s="42" t="s">
        <v>612</v>
      </c>
      <c r="N173" s="61" t="s">
        <v>673</v>
      </c>
      <c r="O173" s="61" t="s">
        <v>683</v>
      </c>
      <c r="P173" s="37"/>
      <c r="Q173" s="37" t="s">
        <v>679</v>
      </c>
      <c r="R173" s="60"/>
    </row>
    <row r="174" spans="1:18" s="7" customFormat="1" ht="69.75" customHeight="1">
      <c r="A174" s="47">
        <v>21</v>
      </c>
      <c r="B174" s="44" t="s">
        <v>631</v>
      </c>
      <c r="C174" s="37" t="s">
        <v>434</v>
      </c>
      <c r="D174" s="31" t="s">
        <v>112</v>
      </c>
      <c r="E174" s="31" t="s">
        <v>655</v>
      </c>
      <c r="F174" s="37" t="s">
        <v>435</v>
      </c>
      <c r="G174" s="34">
        <v>5</v>
      </c>
      <c r="H174" s="34">
        <v>5</v>
      </c>
      <c r="I174" s="34">
        <v>5</v>
      </c>
      <c r="J174" s="35">
        <f>IF(MAX(G174:I174)=0,"",MAX(G174:I174))</f>
        <v>5</v>
      </c>
      <c r="K174" s="35">
        <v>1</v>
      </c>
      <c r="L174" s="34">
        <f>IFERROR(J174*K174,"")</f>
        <v>5</v>
      </c>
      <c r="M174" s="42" t="s">
        <v>571</v>
      </c>
      <c r="N174" s="61" t="s">
        <v>673</v>
      </c>
      <c r="O174" s="61" t="s">
        <v>685</v>
      </c>
      <c r="P174" s="37"/>
      <c r="Q174" s="37" t="s">
        <v>679</v>
      </c>
      <c r="R174" s="60"/>
    </row>
    <row r="175" spans="1:18" s="7" customFormat="1" ht="75">
      <c r="A175" s="48"/>
      <c r="B175" s="45"/>
      <c r="C175" s="38"/>
      <c r="D175" s="31" t="s">
        <v>36</v>
      </c>
      <c r="E175" s="31" t="s">
        <v>67</v>
      </c>
      <c r="F175" s="38" t="str">
        <f>IF($C175&lt;&gt;"",C175,"")</f>
        <v/>
      </c>
      <c r="G175" s="34">
        <v>1</v>
      </c>
      <c r="H175" s="34">
        <v>1</v>
      </c>
      <c r="I175" s="34">
        <v>3</v>
      </c>
      <c r="J175" s="35">
        <f t="shared" ref="J175:J177" si="84">IF(MAX(G175:I175)=0,"",MAX(G175:I175))</f>
        <v>3</v>
      </c>
      <c r="K175" s="35">
        <v>1</v>
      </c>
      <c r="L175" s="34">
        <f t="shared" ref="L175:L177" si="85">IFERROR(J175*K175,"")</f>
        <v>3</v>
      </c>
      <c r="M175" s="42" t="s">
        <v>618</v>
      </c>
      <c r="N175" s="61" t="s">
        <v>673</v>
      </c>
      <c r="O175" s="61" t="s">
        <v>672</v>
      </c>
      <c r="P175" s="37"/>
      <c r="Q175" s="37" t="s">
        <v>679</v>
      </c>
      <c r="R175" s="60"/>
    </row>
    <row r="176" spans="1:18" s="7" customFormat="1" ht="60">
      <c r="A176" s="48"/>
      <c r="B176" s="45"/>
      <c r="C176" s="38"/>
      <c r="D176" s="31" t="s">
        <v>10</v>
      </c>
      <c r="E176" s="31" t="s">
        <v>67</v>
      </c>
      <c r="F176" s="38" t="str">
        <f t="shared" ref="F176:F177" si="86">IF($C176&lt;&gt;"",C176,"")</f>
        <v/>
      </c>
      <c r="G176" s="34">
        <v>1</v>
      </c>
      <c r="H176" s="34">
        <v>1</v>
      </c>
      <c r="I176" s="34">
        <v>3</v>
      </c>
      <c r="J176" s="35">
        <f t="shared" si="84"/>
        <v>3</v>
      </c>
      <c r="K176" s="35">
        <v>1</v>
      </c>
      <c r="L176" s="41">
        <f t="shared" si="85"/>
        <v>3</v>
      </c>
      <c r="M176" s="42" t="s">
        <v>621</v>
      </c>
      <c r="N176" s="61" t="s">
        <v>673</v>
      </c>
      <c r="O176" s="61" t="s">
        <v>677</v>
      </c>
      <c r="P176" s="37"/>
      <c r="Q176" s="37" t="s">
        <v>679</v>
      </c>
      <c r="R176" s="60"/>
    </row>
    <row r="177" spans="1:18" s="7" customFormat="1" ht="60">
      <c r="A177" s="48"/>
      <c r="B177" s="45"/>
      <c r="C177" s="38"/>
      <c r="D177" s="31" t="s">
        <v>50</v>
      </c>
      <c r="E177" s="30" t="s">
        <v>72</v>
      </c>
      <c r="F177" s="38" t="str">
        <f t="shared" si="86"/>
        <v/>
      </c>
      <c r="G177" s="34">
        <v>1</v>
      </c>
      <c r="H177" s="34">
        <v>1</v>
      </c>
      <c r="I177" s="34">
        <v>3</v>
      </c>
      <c r="J177" s="35">
        <f t="shared" si="84"/>
        <v>3</v>
      </c>
      <c r="K177" s="35">
        <v>1</v>
      </c>
      <c r="L177" s="41">
        <f t="shared" si="85"/>
        <v>3</v>
      </c>
      <c r="M177" s="42" t="s">
        <v>612</v>
      </c>
      <c r="N177" s="61" t="s">
        <v>673</v>
      </c>
      <c r="O177" s="61" t="s">
        <v>683</v>
      </c>
      <c r="P177" s="37"/>
      <c r="Q177" s="37" t="s">
        <v>679</v>
      </c>
      <c r="R177" s="60"/>
    </row>
    <row r="178" spans="1:18" s="7" customFormat="1" ht="69.75" customHeight="1">
      <c r="A178" s="47">
        <v>22</v>
      </c>
      <c r="B178" s="44" t="s">
        <v>628</v>
      </c>
      <c r="C178" s="37" t="s">
        <v>434</v>
      </c>
      <c r="D178" s="31" t="s">
        <v>112</v>
      </c>
      <c r="E178" s="31" t="s">
        <v>656</v>
      </c>
      <c r="F178" s="37" t="s">
        <v>435</v>
      </c>
      <c r="G178" s="34">
        <v>1</v>
      </c>
      <c r="H178" s="34">
        <v>5</v>
      </c>
      <c r="I178" s="34">
        <v>5</v>
      </c>
      <c r="J178" s="35">
        <f>IF(MAX(G178:I178)=0,"",MAX(G178:I178))</f>
        <v>5</v>
      </c>
      <c r="K178" s="35">
        <v>1</v>
      </c>
      <c r="L178" s="34">
        <f>IFERROR(J178*K178,"")</f>
        <v>5</v>
      </c>
      <c r="M178" s="42" t="s">
        <v>571</v>
      </c>
      <c r="N178" s="61" t="s">
        <v>673</v>
      </c>
      <c r="O178" s="61" t="s">
        <v>685</v>
      </c>
      <c r="P178" s="37"/>
      <c r="Q178" s="37" t="s">
        <v>679</v>
      </c>
      <c r="R178" s="60"/>
    </row>
    <row r="179" spans="1:18" s="7" customFormat="1" ht="75">
      <c r="A179" s="48"/>
      <c r="B179" s="45"/>
      <c r="C179" s="38"/>
      <c r="D179" s="31" t="s">
        <v>36</v>
      </c>
      <c r="E179" s="31" t="s">
        <v>67</v>
      </c>
      <c r="F179" s="38" t="str">
        <f>IF($C179&lt;&gt;"",C179,"")</f>
        <v/>
      </c>
      <c r="G179" s="34">
        <v>1</v>
      </c>
      <c r="H179" s="34">
        <v>1</v>
      </c>
      <c r="I179" s="34">
        <v>3</v>
      </c>
      <c r="J179" s="35">
        <f t="shared" ref="J179:J181" si="87">IF(MAX(G179:I179)=0,"",MAX(G179:I179))</f>
        <v>3</v>
      </c>
      <c r="K179" s="35">
        <v>1</v>
      </c>
      <c r="L179" s="34">
        <f t="shared" ref="L179:L181" si="88">IFERROR(J179*K179,"")</f>
        <v>3</v>
      </c>
      <c r="M179" s="42" t="s">
        <v>618</v>
      </c>
      <c r="N179" s="61" t="s">
        <v>673</v>
      </c>
      <c r="O179" s="61" t="s">
        <v>672</v>
      </c>
      <c r="P179" s="37"/>
      <c r="Q179" s="37" t="s">
        <v>679</v>
      </c>
      <c r="R179" s="60"/>
    </row>
    <row r="180" spans="1:18" s="7" customFormat="1" ht="60">
      <c r="A180" s="48"/>
      <c r="B180" s="45"/>
      <c r="C180" s="38"/>
      <c r="D180" s="31" t="s">
        <v>10</v>
      </c>
      <c r="E180" s="31" t="s">
        <v>67</v>
      </c>
      <c r="F180" s="38" t="str">
        <f t="shared" ref="F180:F181" si="89">IF($C180&lt;&gt;"",C180,"")</f>
        <v/>
      </c>
      <c r="G180" s="34">
        <v>1</v>
      </c>
      <c r="H180" s="34">
        <v>1</v>
      </c>
      <c r="I180" s="34">
        <v>3</v>
      </c>
      <c r="J180" s="35">
        <f t="shared" si="87"/>
        <v>3</v>
      </c>
      <c r="K180" s="35">
        <v>1</v>
      </c>
      <c r="L180" s="41">
        <f t="shared" si="88"/>
        <v>3</v>
      </c>
      <c r="M180" s="42" t="s">
        <v>621</v>
      </c>
      <c r="N180" s="61" t="s">
        <v>673</v>
      </c>
      <c r="O180" s="61" t="s">
        <v>677</v>
      </c>
      <c r="P180" s="37"/>
      <c r="Q180" s="37" t="s">
        <v>679</v>
      </c>
      <c r="R180" s="60"/>
    </row>
    <row r="181" spans="1:18" s="7" customFormat="1" ht="60">
      <c r="A181" s="48"/>
      <c r="B181" s="45"/>
      <c r="C181" s="38"/>
      <c r="D181" s="31" t="s">
        <v>50</v>
      </c>
      <c r="E181" s="30" t="s">
        <v>72</v>
      </c>
      <c r="F181" s="38" t="str">
        <f t="shared" si="89"/>
        <v/>
      </c>
      <c r="G181" s="34">
        <v>1</v>
      </c>
      <c r="H181" s="34">
        <v>1</v>
      </c>
      <c r="I181" s="34">
        <v>3</v>
      </c>
      <c r="J181" s="35">
        <f t="shared" si="87"/>
        <v>3</v>
      </c>
      <c r="K181" s="35">
        <v>1</v>
      </c>
      <c r="L181" s="41">
        <f t="shared" si="88"/>
        <v>3</v>
      </c>
      <c r="M181" s="42" t="s">
        <v>612</v>
      </c>
      <c r="N181" s="61" t="s">
        <v>673</v>
      </c>
      <c r="O181" s="61" t="s">
        <v>683</v>
      </c>
      <c r="P181" s="37"/>
      <c r="Q181" s="37" t="s">
        <v>679</v>
      </c>
      <c r="R181" s="60"/>
    </row>
    <row r="182" spans="1:18" s="7" customFormat="1" ht="69.75" customHeight="1">
      <c r="A182" s="47">
        <v>23</v>
      </c>
      <c r="B182" s="44" t="s">
        <v>626</v>
      </c>
      <c r="C182" s="37" t="s">
        <v>434</v>
      </c>
      <c r="D182" s="31" t="s">
        <v>112</v>
      </c>
      <c r="E182" s="31" t="s">
        <v>656</v>
      </c>
      <c r="F182" s="37" t="s">
        <v>435</v>
      </c>
      <c r="G182" s="34">
        <v>1</v>
      </c>
      <c r="H182" s="34">
        <v>5</v>
      </c>
      <c r="I182" s="34">
        <v>5</v>
      </c>
      <c r="J182" s="35">
        <f>IF(MAX(G182:I182)=0,"",MAX(G182:I182))</f>
        <v>5</v>
      </c>
      <c r="K182" s="35">
        <v>1</v>
      </c>
      <c r="L182" s="34">
        <f>IFERROR(J182*K182,"")</f>
        <v>5</v>
      </c>
      <c r="M182" s="42" t="s">
        <v>571</v>
      </c>
      <c r="N182" s="61" t="s">
        <v>673</v>
      </c>
      <c r="O182" s="61" t="s">
        <v>685</v>
      </c>
      <c r="P182" s="37"/>
      <c r="Q182" s="37" t="s">
        <v>679</v>
      </c>
      <c r="R182" s="60"/>
    </row>
    <row r="183" spans="1:18" s="7" customFormat="1" ht="75">
      <c r="A183" s="48"/>
      <c r="B183" s="45"/>
      <c r="C183" s="38"/>
      <c r="D183" s="31" t="s">
        <v>36</v>
      </c>
      <c r="E183" s="31" t="s">
        <v>67</v>
      </c>
      <c r="F183" s="38" t="str">
        <f>IF($C183&lt;&gt;"",C183,"")</f>
        <v/>
      </c>
      <c r="G183" s="34">
        <v>1</v>
      </c>
      <c r="H183" s="34">
        <v>1</v>
      </c>
      <c r="I183" s="34">
        <v>3</v>
      </c>
      <c r="J183" s="35">
        <f t="shared" ref="J183:J185" si="90">IF(MAX(G183:I183)=0,"",MAX(G183:I183))</f>
        <v>3</v>
      </c>
      <c r="K183" s="35">
        <v>1</v>
      </c>
      <c r="L183" s="34">
        <f t="shared" ref="L183:L185" si="91">IFERROR(J183*K183,"")</f>
        <v>3</v>
      </c>
      <c r="M183" s="42" t="s">
        <v>618</v>
      </c>
      <c r="N183" s="61" t="s">
        <v>673</v>
      </c>
      <c r="O183" s="61" t="s">
        <v>672</v>
      </c>
      <c r="P183" s="37"/>
      <c r="Q183" s="37" t="s">
        <v>679</v>
      </c>
      <c r="R183" s="60"/>
    </row>
    <row r="184" spans="1:18" s="7" customFormat="1" ht="60">
      <c r="A184" s="48"/>
      <c r="B184" s="45"/>
      <c r="C184" s="38"/>
      <c r="D184" s="31" t="s">
        <v>10</v>
      </c>
      <c r="E184" s="31" t="s">
        <v>67</v>
      </c>
      <c r="F184" s="38" t="str">
        <f t="shared" ref="F184:F185" si="92">IF($C184&lt;&gt;"",C184,"")</f>
        <v/>
      </c>
      <c r="G184" s="34">
        <v>1</v>
      </c>
      <c r="H184" s="34">
        <v>1</v>
      </c>
      <c r="I184" s="34">
        <v>3</v>
      </c>
      <c r="J184" s="35">
        <f t="shared" si="90"/>
        <v>3</v>
      </c>
      <c r="K184" s="35">
        <v>1</v>
      </c>
      <c r="L184" s="41">
        <f t="shared" si="91"/>
        <v>3</v>
      </c>
      <c r="M184" s="42" t="s">
        <v>621</v>
      </c>
      <c r="N184" s="61" t="s">
        <v>673</v>
      </c>
      <c r="O184" s="61" t="s">
        <v>677</v>
      </c>
      <c r="P184" s="37"/>
      <c r="Q184" s="37" t="s">
        <v>679</v>
      </c>
      <c r="R184" s="60"/>
    </row>
    <row r="185" spans="1:18" s="7" customFormat="1" ht="60">
      <c r="A185" s="48"/>
      <c r="B185" s="45"/>
      <c r="C185" s="38"/>
      <c r="D185" s="31" t="s">
        <v>50</v>
      </c>
      <c r="E185" s="30" t="s">
        <v>72</v>
      </c>
      <c r="F185" s="38" t="str">
        <f t="shared" si="92"/>
        <v/>
      </c>
      <c r="G185" s="34">
        <v>1</v>
      </c>
      <c r="H185" s="34">
        <v>1</v>
      </c>
      <c r="I185" s="34">
        <v>3</v>
      </c>
      <c r="J185" s="35">
        <f t="shared" si="90"/>
        <v>3</v>
      </c>
      <c r="K185" s="35">
        <v>1</v>
      </c>
      <c r="L185" s="41">
        <f t="shared" si="91"/>
        <v>3</v>
      </c>
      <c r="M185" s="42" t="s">
        <v>612</v>
      </c>
      <c r="N185" s="61" t="s">
        <v>673</v>
      </c>
      <c r="O185" s="61" t="s">
        <v>683</v>
      </c>
      <c r="P185" s="37"/>
      <c r="Q185" s="37" t="s">
        <v>679</v>
      </c>
      <c r="R185" s="60"/>
    </row>
    <row r="186" spans="1:18" s="7" customFormat="1" ht="69.75" customHeight="1">
      <c r="A186" s="47">
        <v>24</v>
      </c>
      <c r="B186" s="44" t="s">
        <v>632</v>
      </c>
      <c r="C186" s="37" t="s">
        <v>434</v>
      </c>
      <c r="D186" s="31" t="s">
        <v>112</v>
      </c>
      <c r="E186" s="31" t="s">
        <v>656</v>
      </c>
      <c r="F186" s="37" t="s">
        <v>435</v>
      </c>
      <c r="G186" s="34">
        <v>1</v>
      </c>
      <c r="H186" s="34">
        <v>5</v>
      </c>
      <c r="I186" s="34">
        <v>5</v>
      </c>
      <c r="J186" s="35">
        <f>IF(MAX(G186:I186)=0,"",MAX(G186:I186))</f>
        <v>5</v>
      </c>
      <c r="K186" s="35">
        <v>1</v>
      </c>
      <c r="L186" s="34">
        <f>IFERROR(J186*K186,"")</f>
        <v>5</v>
      </c>
      <c r="M186" s="42" t="s">
        <v>571</v>
      </c>
      <c r="N186" s="61" t="s">
        <v>673</v>
      </c>
      <c r="O186" s="61" t="s">
        <v>685</v>
      </c>
      <c r="P186" s="37"/>
      <c r="Q186" s="37" t="s">
        <v>679</v>
      </c>
      <c r="R186" s="60"/>
    </row>
    <row r="187" spans="1:18" s="7" customFormat="1" ht="75">
      <c r="A187" s="48"/>
      <c r="B187" s="45"/>
      <c r="C187" s="38"/>
      <c r="D187" s="31" t="s">
        <v>36</v>
      </c>
      <c r="E187" s="31" t="s">
        <v>67</v>
      </c>
      <c r="F187" s="38" t="str">
        <f>IF($C187&lt;&gt;"",C187,"")</f>
        <v/>
      </c>
      <c r="G187" s="34">
        <v>1</v>
      </c>
      <c r="H187" s="34">
        <v>1</v>
      </c>
      <c r="I187" s="34">
        <v>3</v>
      </c>
      <c r="J187" s="35">
        <f t="shared" ref="J187:J189" si="93">IF(MAX(G187:I187)=0,"",MAX(G187:I187))</f>
        <v>3</v>
      </c>
      <c r="K187" s="35">
        <v>1</v>
      </c>
      <c r="L187" s="34">
        <f t="shared" ref="L187:L189" si="94">IFERROR(J187*K187,"")</f>
        <v>3</v>
      </c>
      <c r="M187" s="42" t="s">
        <v>618</v>
      </c>
      <c r="N187" s="61" t="s">
        <v>673</v>
      </c>
      <c r="O187" s="61" t="s">
        <v>672</v>
      </c>
      <c r="P187" s="37"/>
      <c r="Q187" s="37" t="s">
        <v>679</v>
      </c>
      <c r="R187" s="60"/>
    </row>
    <row r="188" spans="1:18" s="7" customFormat="1" ht="60">
      <c r="A188" s="48"/>
      <c r="B188" s="45"/>
      <c r="C188" s="38"/>
      <c r="D188" s="31" t="s">
        <v>10</v>
      </c>
      <c r="E188" s="31" t="s">
        <v>67</v>
      </c>
      <c r="F188" s="38" t="str">
        <f t="shared" ref="F188:F189" si="95">IF($C188&lt;&gt;"",C188,"")</f>
        <v/>
      </c>
      <c r="G188" s="34">
        <v>1</v>
      </c>
      <c r="H188" s="34">
        <v>1</v>
      </c>
      <c r="I188" s="34">
        <v>3</v>
      </c>
      <c r="J188" s="35">
        <f t="shared" si="93"/>
        <v>3</v>
      </c>
      <c r="K188" s="35">
        <v>1</v>
      </c>
      <c r="L188" s="41">
        <f t="shared" si="94"/>
        <v>3</v>
      </c>
      <c r="M188" s="42" t="s">
        <v>621</v>
      </c>
      <c r="N188" s="61" t="s">
        <v>673</v>
      </c>
      <c r="O188" s="61" t="s">
        <v>677</v>
      </c>
      <c r="P188" s="37"/>
      <c r="Q188" s="37" t="s">
        <v>679</v>
      </c>
      <c r="R188" s="60"/>
    </row>
    <row r="189" spans="1:18" s="7" customFormat="1" ht="60">
      <c r="A189" s="48"/>
      <c r="B189" s="45"/>
      <c r="C189" s="38"/>
      <c r="D189" s="31" t="s">
        <v>50</v>
      </c>
      <c r="E189" s="30" t="s">
        <v>72</v>
      </c>
      <c r="F189" s="38" t="str">
        <f t="shared" si="95"/>
        <v/>
      </c>
      <c r="G189" s="34">
        <v>1</v>
      </c>
      <c r="H189" s="34">
        <v>1</v>
      </c>
      <c r="I189" s="34">
        <v>3</v>
      </c>
      <c r="J189" s="35">
        <f t="shared" si="93"/>
        <v>3</v>
      </c>
      <c r="K189" s="35">
        <v>1</v>
      </c>
      <c r="L189" s="41">
        <f t="shared" si="94"/>
        <v>3</v>
      </c>
      <c r="M189" s="42" t="s">
        <v>612</v>
      </c>
      <c r="N189" s="61" t="s">
        <v>673</v>
      </c>
      <c r="O189" s="61" t="s">
        <v>683</v>
      </c>
      <c r="P189" s="37"/>
      <c r="Q189" s="37" t="s">
        <v>679</v>
      </c>
      <c r="R189" s="60"/>
    </row>
    <row r="190" spans="1:18" s="7" customFormat="1" ht="69.75" customHeight="1">
      <c r="A190" s="47">
        <v>25</v>
      </c>
      <c r="B190" s="44" t="s">
        <v>629</v>
      </c>
      <c r="C190" s="37" t="s">
        <v>434</v>
      </c>
      <c r="D190" s="31" t="s">
        <v>112</v>
      </c>
      <c r="E190" s="31" t="s">
        <v>657</v>
      </c>
      <c r="F190" s="37" t="s">
        <v>435</v>
      </c>
      <c r="G190" s="34">
        <v>1</v>
      </c>
      <c r="H190" s="34">
        <v>5</v>
      </c>
      <c r="I190" s="34">
        <v>5</v>
      </c>
      <c r="J190" s="35">
        <f>IF(MAX(G190:I190)=0,"",MAX(G190:I190))</f>
        <v>5</v>
      </c>
      <c r="K190" s="35">
        <v>1</v>
      </c>
      <c r="L190" s="34">
        <f>IFERROR(J190*K190,"")</f>
        <v>5</v>
      </c>
      <c r="M190" s="42" t="s">
        <v>571</v>
      </c>
      <c r="N190" s="61" t="s">
        <v>673</v>
      </c>
      <c r="O190" s="61" t="s">
        <v>685</v>
      </c>
      <c r="P190" s="37"/>
      <c r="Q190" s="37" t="s">
        <v>679</v>
      </c>
      <c r="R190" s="60"/>
    </row>
    <row r="191" spans="1:18" s="7" customFormat="1" ht="75">
      <c r="A191" s="48"/>
      <c r="B191" s="45"/>
      <c r="C191" s="38"/>
      <c r="D191" s="31" t="s">
        <v>36</v>
      </c>
      <c r="E191" s="31" t="s">
        <v>67</v>
      </c>
      <c r="F191" s="38" t="str">
        <f>IF($C191&lt;&gt;"",C191,"")</f>
        <v/>
      </c>
      <c r="G191" s="34">
        <v>1</v>
      </c>
      <c r="H191" s="34">
        <v>1</v>
      </c>
      <c r="I191" s="34">
        <v>3</v>
      </c>
      <c r="J191" s="35">
        <f t="shared" ref="J191:J193" si="96">IF(MAX(G191:I191)=0,"",MAX(G191:I191))</f>
        <v>3</v>
      </c>
      <c r="K191" s="35">
        <v>1</v>
      </c>
      <c r="L191" s="34">
        <f t="shared" ref="L191:L193" si="97">IFERROR(J191*K191,"")</f>
        <v>3</v>
      </c>
      <c r="M191" s="42" t="s">
        <v>618</v>
      </c>
      <c r="N191" s="61" t="s">
        <v>673</v>
      </c>
      <c r="O191" s="61" t="s">
        <v>672</v>
      </c>
      <c r="P191" s="37"/>
      <c r="Q191" s="37" t="s">
        <v>679</v>
      </c>
      <c r="R191" s="60"/>
    </row>
    <row r="192" spans="1:18" s="7" customFormat="1" ht="60">
      <c r="A192" s="48"/>
      <c r="B192" s="45"/>
      <c r="C192" s="38"/>
      <c r="D192" s="31" t="s">
        <v>10</v>
      </c>
      <c r="E192" s="31" t="s">
        <v>67</v>
      </c>
      <c r="F192" s="38" t="str">
        <f t="shared" ref="F192:F193" si="98">IF($C192&lt;&gt;"",C192,"")</f>
        <v/>
      </c>
      <c r="G192" s="34">
        <v>1</v>
      </c>
      <c r="H192" s="34">
        <v>1</v>
      </c>
      <c r="I192" s="34">
        <v>3</v>
      </c>
      <c r="J192" s="35">
        <f t="shared" si="96"/>
        <v>3</v>
      </c>
      <c r="K192" s="35">
        <v>1</v>
      </c>
      <c r="L192" s="41">
        <f t="shared" si="97"/>
        <v>3</v>
      </c>
      <c r="M192" s="42" t="s">
        <v>621</v>
      </c>
      <c r="N192" s="61" t="s">
        <v>673</v>
      </c>
      <c r="O192" s="61" t="s">
        <v>677</v>
      </c>
      <c r="P192" s="37"/>
      <c r="Q192" s="37" t="s">
        <v>679</v>
      </c>
      <c r="R192" s="60"/>
    </row>
    <row r="193" spans="1:18" s="7" customFormat="1" ht="60">
      <c r="A193" s="48"/>
      <c r="B193" s="45"/>
      <c r="C193" s="38"/>
      <c r="D193" s="31" t="s">
        <v>50</v>
      </c>
      <c r="E193" s="30" t="s">
        <v>72</v>
      </c>
      <c r="F193" s="38" t="str">
        <f t="shared" si="98"/>
        <v/>
      </c>
      <c r="G193" s="34">
        <v>1</v>
      </c>
      <c r="H193" s="34">
        <v>1</v>
      </c>
      <c r="I193" s="34">
        <v>3</v>
      </c>
      <c r="J193" s="35">
        <f t="shared" si="96"/>
        <v>3</v>
      </c>
      <c r="K193" s="35">
        <v>1</v>
      </c>
      <c r="L193" s="41">
        <f t="shared" si="97"/>
        <v>3</v>
      </c>
      <c r="M193" s="42" t="s">
        <v>612</v>
      </c>
      <c r="N193" s="61" t="s">
        <v>673</v>
      </c>
      <c r="O193" s="61" t="s">
        <v>683</v>
      </c>
      <c r="P193" s="31"/>
      <c r="Q193" s="31" t="s">
        <v>679</v>
      </c>
      <c r="R193" s="60"/>
    </row>
    <row r="194" spans="1:18">
      <c r="A194" s="43"/>
      <c r="B194" s="40"/>
      <c r="C194" s="40"/>
      <c r="D194" s="32"/>
      <c r="E194" s="32"/>
      <c r="F194" s="32"/>
      <c r="G194" s="35"/>
      <c r="H194" s="35"/>
      <c r="I194" s="35"/>
      <c r="J194" s="35" t="str">
        <f t="shared" ref="J194" si="99">IF(MAX(G194:I194)=0,"",MAX(G194:I194))</f>
        <v/>
      </c>
      <c r="K194" s="43"/>
      <c r="L194" s="34" t="str">
        <f t="shared" ref="L194" si="100">IFERROR(J194*K194,"")</f>
        <v/>
      </c>
      <c r="M194" s="42"/>
      <c r="N194" s="61"/>
      <c r="O194" s="61"/>
      <c r="P194" s="31"/>
      <c r="Q194" s="31"/>
      <c r="R194" s="60"/>
    </row>
  </sheetData>
  <dataConsolidate/>
  <mergeCells count="2">
    <mergeCell ref="A1:M1"/>
    <mergeCell ref="N1:R1"/>
  </mergeCells>
  <conditionalFormatting sqref="L3:L194">
    <cfRule type="cellIs" dxfId="30" priority="2" operator="greaterThanOrEqual">
      <formula>15</formula>
    </cfRule>
    <cfRule type="cellIs" dxfId="29" priority="3" operator="between">
      <formula>5</formula>
      <formula>14</formula>
    </cfRule>
    <cfRule type="cellIs" dxfId="28" priority="4" operator="lessThanOrEqual">
      <formula>4</formula>
    </cfRule>
  </conditionalFormatting>
  <conditionalFormatting sqref="L194">
    <cfRule type="cellIs" dxfId="27" priority="1" operator="equal">
      <formula>""</formula>
    </cfRule>
  </conditionalFormatting>
  <dataValidations count="12">
    <dataValidation type="list" allowBlank="1" showInputMessage="1" showErrorMessage="1" sqref="E3:E194">
      <formula1>VulnerabitiesList</formula1>
    </dataValidation>
    <dataValidation allowBlank="1" showInputMessage="1" showErrorMessage="1" errorTitle="Wrong value!" error="Values 0, 1 or 2 are allowed" sqref="J3:J194"/>
    <dataValidation type="list" allowBlank="1" showInputMessage="1" showErrorMessage="1" sqref="D3:D194">
      <formula1>ThreatsList</formula1>
    </dataValidation>
    <dataValidation type="list" errorStyle="information" allowBlank="1" showInputMessage="1" showErrorMessage="1" sqref="F3:F194 C3:C194 P3:P194">
      <formula1>RiskOwners</formula1>
    </dataValidation>
    <dataValidation type="list" allowBlank="1" showInputMessage="1" showErrorMessage="1" sqref="B3:B194">
      <formula1>AssetsList</formula1>
    </dataValidation>
    <dataValidation type="list" errorStyle="information" allowBlank="1" showInputMessage="1" showErrorMessage="1" sqref="G3:G194">
      <formula1>RatingConfidentiality</formula1>
    </dataValidation>
    <dataValidation type="list" errorStyle="information" allowBlank="1" showInputMessage="1" showErrorMessage="1" sqref="I3:I194">
      <formula1>RatingAvailability</formula1>
    </dataValidation>
    <dataValidation type="list" allowBlank="1" showInputMessage="1" showErrorMessage="1" sqref="H3:H194">
      <formula1>RatingIntegrity</formula1>
    </dataValidation>
    <dataValidation type="list" allowBlank="1" showInputMessage="1" showErrorMessage="1" sqref="N3:N194">
      <formula1>RTPoptions</formula1>
    </dataValidation>
    <dataValidation type="list" errorStyle="information" allowBlank="1" showInputMessage="1" showErrorMessage="1" sqref="Q3:Q194">
      <formula1>RTPstatus</formula1>
    </dataValidation>
    <dataValidation type="list" allowBlank="1" showInputMessage="1" sqref="O3:O194">
      <formula1>ISMSrecords</formula1>
    </dataValidation>
    <dataValidation type="list" allowBlank="1" showInputMessage="1" showErrorMessage="1" sqref="K3:K194">
      <formula1>LikelihoodRating</formula1>
    </dataValidation>
  </dataValidations>
  <printOptions horizontalCentered="1"/>
  <pageMargins left="0.39370078740157483" right="0.39370078740157483" top="1.0236220472440944" bottom="0.62992125984251968" header="0.31496062992125984" footer="0.31496062992125984"/>
  <pageSetup paperSize="9" scale="68" fitToHeight="0" orientation="landscape" r:id="rId1"/>
  <headerFooter>
    <oddHeader>&amp;L&amp;"-,Bold"&amp;12Dodid Pte Ltd&amp;R&amp;"-,Bold"&amp;12Confidential</oddHeader>
    <oddFooter xml:space="preserve">&amp;LRisk Assessment Table
  &amp;RPage &amp;P of &amp;N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Controls!$A$3:$A$116</xm:f>
          </x14:formula1>
          <xm:sqref>M194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R223"/>
  <sheetViews>
    <sheetView showGridLines="0" zoomScale="90" zoomScaleNormal="90" workbookViewId="0">
      <pane xSplit="5" ySplit="2" topLeftCell="N3" activePane="bottomRight" state="frozenSplit"/>
      <selection activeCell="C10" sqref="C10:E10"/>
      <selection pane="topRight" activeCell="C10" sqref="C10:E10"/>
      <selection pane="bottomLeft" activeCell="C10" sqref="C10:E10"/>
      <selection pane="bottomRight" activeCell="C3" sqref="C3"/>
    </sheetView>
  </sheetViews>
  <sheetFormatPr defaultRowHeight="15"/>
  <cols>
    <col min="1" max="1" width="5.5703125" style="36" customWidth="1"/>
    <col min="2" max="2" width="13.85546875" style="33" customWidth="1"/>
    <col min="3" max="3" width="12.42578125" style="33" customWidth="1"/>
    <col min="4" max="4" width="19.5703125" style="33" customWidth="1"/>
    <col min="5" max="5" width="42" style="33" customWidth="1"/>
    <col min="6" max="6" width="11.42578125" style="33" customWidth="1"/>
    <col min="7" max="9" width="11.42578125" style="36" customWidth="1"/>
    <col min="10" max="10" width="9" style="36" customWidth="1"/>
    <col min="11" max="11" width="12.5703125" style="36" customWidth="1"/>
    <col min="12" max="12" width="7.5703125" style="36" customWidth="1"/>
    <col min="13" max="13" width="36.5703125" style="33" customWidth="1"/>
    <col min="14" max="14" width="22.7109375" customWidth="1"/>
    <col min="15" max="15" width="22" customWidth="1"/>
    <col min="16" max="16" width="8.5703125" customWidth="1"/>
    <col min="17" max="17" width="12.5703125" customWidth="1"/>
    <col min="18" max="18" width="13.5703125" customWidth="1"/>
  </cols>
  <sheetData>
    <row r="1" spans="1:18" ht="18.75">
      <c r="A1" s="133" t="s">
        <v>704</v>
      </c>
      <c r="B1" s="134"/>
      <c r="C1" s="134"/>
      <c r="D1" s="134"/>
      <c r="E1" s="134"/>
      <c r="F1" s="134"/>
      <c r="G1" s="134"/>
      <c r="H1" s="134"/>
      <c r="I1" s="134"/>
      <c r="J1" s="134"/>
      <c r="K1" s="134"/>
      <c r="L1" s="134"/>
      <c r="M1" s="135"/>
      <c r="N1" s="136" t="s">
        <v>660</v>
      </c>
      <c r="O1" s="137"/>
      <c r="P1" s="137"/>
      <c r="Q1" s="137"/>
      <c r="R1" s="137"/>
    </row>
    <row r="2" spans="1:18" s="12" customFormat="1" ht="30">
      <c r="A2" s="51" t="s">
        <v>0</v>
      </c>
      <c r="B2" s="51" t="s">
        <v>437</v>
      </c>
      <c r="C2" s="51" t="s">
        <v>1</v>
      </c>
      <c r="D2" s="51" t="s">
        <v>2</v>
      </c>
      <c r="E2" s="51" t="s">
        <v>3</v>
      </c>
      <c r="F2" s="51" t="s">
        <v>4</v>
      </c>
      <c r="G2" s="51" t="s">
        <v>551</v>
      </c>
      <c r="H2" s="51" t="s">
        <v>552</v>
      </c>
      <c r="I2" s="51" t="s">
        <v>568</v>
      </c>
      <c r="J2" s="51" t="s">
        <v>5</v>
      </c>
      <c r="K2" s="51" t="s">
        <v>6</v>
      </c>
      <c r="L2" s="51" t="s">
        <v>7</v>
      </c>
      <c r="M2" s="51" t="s">
        <v>8</v>
      </c>
      <c r="N2" s="59" t="s">
        <v>661</v>
      </c>
      <c r="O2" s="59" t="s">
        <v>662</v>
      </c>
      <c r="P2" s="59" t="s">
        <v>663</v>
      </c>
      <c r="Q2" s="59" t="s">
        <v>666</v>
      </c>
      <c r="R2" s="59" t="s">
        <v>664</v>
      </c>
    </row>
    <row r="3" spans="1:18" s="7" customFormat="1" ht="90">
      <c r="A3" s="47">
        <v>1</v>
      </c>
      <c r="B3" s="44" t="s">
        <v>553</v>
      </c>
      <c r="C3" s="37" t="s">
        <v>692</v>
      </c>
      <c r="D3" s="31" t="s">
        <v>112</v>
      </c>
      <c r="E3" s="31" t="s">
        <v>569</v>
      </c>
      <c r="F3" s="37" t="s">
        <v>692</v>
      </c>
      <c r="G3" s="34">
        <v>5</v>
      </c>
      <c r="H3" s="34">
        <v>5</v>
      </c>
      <c r="I3" s="34">
        <v>5</v>
      </c>
      <c r="J3" s="35">
        <f>IF(MAX(G3:I3)=0,"",MAX(G3:I3))</f>
        <v>5</v>
      </c>
      <c r="K3" s="35">
        <v>1</v>
      </c>
      <c r="L3" s="34">
        <f>IFERROR(J3*K3,"")</f>
        <v>5</v>
      </c>
      <c r="M3" s="42" t="s">
        <v>571</v>
      </c>
      <c r="N3" s="61" t="s">
        <v>673</v>
      </c>
      <c r="O3" s="61" t="s">
        <v>665</v>
      </c>
      <c r="P3" s="37" t="s">
        <v>692</v>
      </c>
      <c r="Q3" s="37" t="s">
        <v>679</v>
      </c>
      <c r="R3" s="62">
        <v>43445</v>
      </c>
    </row>
    <row r="4" spans="1:18" s="7" customFormat="1" ht="45">
      <c r="A4" s="48"/>
      <c r="B4" s="45"/>
      <c r="C4" s="38"/>
      <c r="D4" s="31" t="s">
        <v>11</v>
      </c>
      <c r="E4" s="31" t="s">
        <v>67</v>
      </c>
      <c r="F4" s="38" t="str">
        <f>IF($C4&lt;&gt;"",C4,"")</f>
        <v/>
      </c>
      <c r="G4" s="34">
        <v>1</v>
      </c>
      <c r="H4" s="34">
        <v>1</v>
      </c>
      <c r="I4" s="34">
        <v>5</v>
      </c>
      <c r="J4" s="35">
        <f t="shared" ref="J4:J14" si="0">IF(MAX(G4:I4)=0,"",MAX(G4:I4))</f>
        <v>5</v>
      </c>
      <c r="K4" s="35">
        <v>1</v>
      </c>
      <c r="L4" s="34">
        <f t="shared" ref="L4:L14" si="1">IFERROR(J4*K4,"")</f>
        <v>5</v>
      </c>
      <c r="M4" s="42" t="s">
        <v>595</v>
      </c>
      <c r="N4" s="61" t="s">
        <v>673</v>
      </c>
      <c r="O4" s="61" t="s">
        <v>672</v>
      </c>
      <c r="P4" s="37"/>
      <c r="Q4" s="37" t="s">
        <v>679</v>
      </c>
      <c r="R4" s="60"/>
    </row>
    <row r="5" spans="1:18" s="7" customFormat="1" ht="60">
      <c r="A5" s="48"/>
      <c r="B5" s="45"/>
      <c r="C5" s="38"/>
      <c r="D5" s="31" t="s">
        <v>25</v>
      </c>
      <c r="E5" s="31" t="s">
        <v>69</v>
      </c>
      <c r="F5" s="38" t="str">
        <f>IF($C5&lt;&gt;"",C5,"")</f>
        <v/>
      </c>
      <c r="G5" s="34">
        <v>1</v>
      </c>
      <c r="H5" s="34">
        <v>1</v>
      </c>
      <c r="I5" s="34">
        <v>5</v>
      </c>
      <c r="J5" s="35">
        <f t="shared" si="0"/>
        <v>5</v>
      </c>
      <c r="K5" s="35">
        <v>1</v>
      </c>
      <c r="L5" s="34">
        <f t="shared" si="1"/>
        <v>5</v>
      </c>
      <c r="M5" s="42" t="s">
        <v>570</v>
      </c>
      <c r="N5" s="61" t="s">
        <v>673</v>
      </c>
      <c r="O5" s="61" t="s">
        <v>677</v>
      </c>
      <c r="P5" s="37"/>
      <c r="Q5" s="37" t="s">
        <v>679</v>
      </c>
      <c r="R5" s="60"/>
    </row>
    <row r="6" spans="1:18" s="7" customFormat="1" ht="60">
      <c r="A6" s="48"/>
      <c r="B6" s="45"/>
      <c r="C6" s="38"/>
      <c r="D6" s="31" t="s">
        <v>25</v>
      </c>
      <c r="E6" s="31" t="s">
        <v>81</v>
      </c>
      <c r="F6" s="38"/>
      <c r="G6" s="34">
        <v>1</v>
      </c>
      <c r="H6" s="34">
        <v>1</v>
      </c>
      <c r="I6" s="34">
        <v>5</v>
      </c>
      <c r="J6" s="35">
        <f t="shared" si="0"/>
        <v>5</v>
      </c>
      <c r="K6" s="35">
        <v>1</v>
      </c>
      <c r="L6" s="34">
        <f t="shared" si="1"/>
        <v>5</v>
      </c>
      <c r="M6" s="42" t="s">
        <v>573</v>
      </c>
      <c r="N6" s="61" t="s">
        <v>673</v>
      </c>
      <c r="O6" s="61" t="s">
        <v>677</v>
      </c>
      <c r="P6" s="37"/>
      <c r="Q6" s="37" t="s">
        <v>679</v>
      </c>
      <c r="R6" s="60"/>
    </row>
    <row r="7" spans="1:18" s="7" customFormat="1" ht="60">
      <c r="A7" s="48"/>
      <c r="B7" s="45"/>
      <c r="C7" s="38"/>
      <c r="D7" s="31" t="s">
        <v>25</v>
      </c>
      <c r="E7" s="31" t="s">
        <v>90</v>
      </c>
      <c r="F7" s="38"/>
      <c r="G7" s="34">
        <v>1</v>
      </c>
      <c r="H7" s="34">
        <v>1</v>
      </c>
      <c r="I7" s="34">
        <v>5</v>
      </c>
      <c r="J7" s="35">
        <f t="shared" si="0"/>
        <v>5</v>
      </c>
      <c r="K7" s="35">
        <v>1</v>
      </c>
      <c r="L7" s="34">
        <f t="shared" si="1"/>
        <v>5</v>
      </c>
      <c r="M7" s="42" t="s">
        <v>572</v>
      </c>
      <c r="N7" s="61" t="s">
        <v>673</v>
      </c>
      <c r="O7" s="61" t="s">
        <v>677</v>
      </c>
      <c r="P7" s="37"/>
      <c r="Q7" s="37" t="s">
        <v>679</v>
      </c>
      <c r="R7" s="60"/>
    </row>
    <row r="8" spans="1:18" s="7" customFormat="1" ht="60">
      <c r="A8" s="48"/>
      <c r="B8" s="45"/>
      <c r="C8" s="38"/>
      <c r="D8" s="31" t="s">
        <v>25</v>
      </c>
      <c r="E8" s="31" t="s">
        <v>91</v>
      </c>
      <c r="F8" s="38"/>
      <c r="G8" s="34">
        <v>1</v>
      </c>
      <c r="H8" s="34">
        <v>1</v>
      </c>
      <c r="I8" s="34">
        <v>5</v>
      </c>
      <c r="J8" s="35">
        <f t="shared" si="0"/>
        <v>5</v>
      </c>
      <c r="K8" s="35">
        <v>1</v>
      </c>
      <c r="L8" s="34">
        <f t="shared" si="1"/>
        <v>5</v>
      </c>
      <c r="M8" s="42" t="s">
        <v>574</v>
      </c>
      <c r="N8" s="61" t="s">
        <v>673</v>
      </c>
      <c r="O8" s="61" t="s">
        <v>677</v>
      </c>
      <c r="P8" s="37"/>
      <c r="Q8" s="37" t="s">
        <v>679</v>
      </c>
      <c r="R8" s="60"/>
    </row>
    <row r="9" spans="1:18" s="7" customFormat="1" ht="90">
      <c r="A9" s="48"/>
      <c r="B9" s="45"/>
      <c r="C9" s="38"/>
      <c r="D9" s="31" t="s">
        <v>27</v>
      </c>
      <c r="E9" s="31" t="s">
        <v>80</v>
      </c>
      <c r="F9" s="38" t="str">
        <f t="shared" ref="F9:F14" si="2">IF($C9&lt;&gt;"",C9,"")</f>
        <v/>
      </c>
      <c r="G9" s="34">
        <v>1</v>
      </c>
      <c r="H9" s="34">
        <v>1</v>
      </c>
      <c r="I9" s="34">
        <v>5</v>
      </c>
      <c r="J9" s="35">
        <f t="shared" si="0"/>
        <v>5</v>
      </c>
      <c r="K9" s="35">
        <v>1</v>
      </c>
      <c r="L9" s="34">
        <f t="shared" si="1"/>
        <v>5</v>
      </c>
      <c r="M9" s="42" t="s">
        <v>575</v>
      </c>
      <c r="N9" s="61" t="s">
        <v>676</v>
      </c>
      <c r="O9" s="61" t="s">
        <v>678</v>
      </c>
      <c r="P9" s="37"/>
      <c r="Q9" s="37" t="s">
        <v>680</v>
      </c>
      <c r="R9" s="60"/>
    </row>
    <row r="10" spans="1:18" s="7" customFormat="1" ht="60">
      <c r="A10" s="48"/>
      <c r="B10" s="45"/>
      <c r="C10" s="38"/>
      <c r="D10" s="31" t="s">
        <v>32</v>
      </c>
      <c r="E10" s="31" t="s">
        <v>91</v>
      </c>
      <c r="F10" s="38" t="str">
        <f t="shared" si="2"/>
        <v/>
      </c>
      <c r="G10" s="34">
        <v>1</v>
      </c>
      <c r="H10" s="34">
        <v>1</v>
      </c>
      <c r="I10" s="34">
        <v>5</v>
      </c>
      <c r="J10" s="35">
        <f t="shared" si="0"/>
        <v>5</v>
      </c>
      <c r="K10" s="35">
        <v>1</v>
      </c>
      <c r="L10" s="34">
        <f t="shared" si="1"/>
        <v>5</v>
      </c>
      <c r="M10" s="42" t="s">
        <v>576</v>
      </c>
      <c r="N10" s="61" t="s">
        <v>676</v>
      </c>
      <c r="O10" s="61" t="s">
        <v>678</v>
      </c>
      <c r="P10" s="37"/>
      <c r="Q10" s="37" t="s">
        <v>680</v>
      </c>
      <c r="R10" s="61"/>
    </row>
    <row r="11" spans="1:18" s="7" customFormat="1" ht="60">
      <c r="A11" s="48"/>
      <c r="B11" s="45"/>
      <c r="C11" s="38"/>
      <c r="D11" s="31" t="s">
        <v>38</v>
      </c>
      <c r="E11" s="31" t="s">
        <v>68</v>
      </c>
      <c r="F11" s="38" t="str">
        <f t="shared" si="2"/>
        <v/>
      </c>
      <c r="G11" s="34">
        <v>5</v>
      </c>
      <c r="H11" s="34">
        <v>1</v>
      </c>
      <c r="I11" s="34">
        <v>1</v>
      </c>
      <c r="J11" s="35">
        <f t="shared" si="0"/>
        <v>5</v>
      </c>
      <c r="K11" s="35">
        <v>1</v>
      </c>
      <c r="L11" s="41">
        <f t="shared" si="1"/>
        <v>5</v>
      </c>
      <c r="M11" s="42" t="s">
        <v>578</v>
      </c>
      <c r="N11" s="61" t="s">
        <v>673</v>
      </c>
      <c r="O11" s="61" t="s">
        <v>682</v>
      </c>
      <c r="P11" s="37"/>
      <c r="Q11" s="37" t="s">
        <v>679</v>
      </c>
      <c r="R11" s="61"/>
    </row>
    <row r="12" spans="1:18" s="7" customFormat="1" ht="75">
      <c r="A12" s="48"/>
      <c r="B12" s="45"/>
      <c r="C12" s="38"/>
      <c r="D12" s="31" t="s">
        <v>38</v>
      </c>
      <c r="E12" s="31" t="s">
        <v>72</v>
      </c>
      <c r="F12" s="38" t="str">
        <f t="shared" si="2"/>
        <v/>
      </c>
      <c r="G12" s="34">
        <v>5</v>
      </c>
      <c r="H12" s="34">
        <v>5</v>
      </c>
      <c r="I12" s="34">
        <v>5</v>
      </c>
      <c r="J12" s="35">
        <f t="shared" si="0"/>
        <v>5</v>
      </c>
      <c r="K12" s="35">
        <v>1</v>
      </c>
      <c r="L12" s="41">
        <f t="shared" si="1"/>
        <v>5</v>
      </c>
      <c r="M12" s="42" t="s">
        <v>577</v>
      </c>
      <c r="N12" s="61" t="s">
        <v>673</v>
      </c>
      <c r="O12" s="61" t="s">
        <v>683</v>
      </c>
      <c r="P12" s="37"/>
      <c r="Q12" s="37" t="s">
        <v>679</v>
      </c>
      <c r="R12" s="61"/>
    </row>
    <row r="13" spans="1:18" s="7" customFormat="1" ht="60">
      <c r="A13" s="48"/>
      <c r="B13" s="45"/>
      <c r="C13" s="38"/>
      <c r="D13" s="31" t="s">
        <v>21</v>
      </c>
      <c r="E13" s="31" t="s">
        <v>579</v>
      </c>
      <c r="F13" s="38" t="str">
        <f t="shared" si="2"/>
        <v/>
      </c>
      <c r="G13" s="34">
        <v>1</v>
      </c>
      <c r="H13" s="34">
        <v>1</v>
      </c>
      <c r="I13" s="34">
        <v>5</v>
      </c>
      <c r="J13" s="35">
        <f t="shared" si="0"/>
        <v>5</v>
      </c>
      <c r="K13" s="35">
        <v>1</v>
      </c>
      <c r="L13" s="41">
        <f t="shared" si="1"/>
        <v>5</v>
      </c>
      <c r="M13" s="42" t="s">
        <v>580</v>
      </c>
      <c r="N13" s="61" t="s">
        <v>673</v>
      </c>
      <c r="O13" s="60" t="s">
        <v>677</v>
      </c>
      <c r="P13" s="37"/>
      <c r="Q13" s="37" t="s">
        <v>679</v>
      </c>
      <c r="R13" s="60"/>
    </row>
    <row r="14" spans="1:18" s="7" customFormat="1" ht="135">
      <c r="A14" s="49"/>
      <c r="B14" s="46"/>
      <c r="C14" s="39"/>
      <c r="D14" s="31" t="s">
        <v>31</v>
      </c>
      <c r="E14" s="31" t="s">
        <v>581</v>
      </c>
      <c r="F14" s="39" t="str">
        <f t="shared" si="2"/>
        <v/>
      </c>
      <c r="G14" s="34">
        <v>5</v>
      </c>
      <c r="H14" s="34">
        <v>5</v>
      </c>
      <c r="I14" s="34">
        <v>1</v>
      </c>
      <c r="J14" s="35">
        <f t="shared" si="0"/>
        <v>5</v>
      </c>
      <c r="K14" s="35">
        <v>1</v>
      </c>
      <c r="L14" s="41">
        <f t="shared" si="1"/>
        <v>5</v>
      </c>
      <c r="M14" s="42" t="s">
        <v>582</v>
      </c>
      <c r="N14" s="61" t="s">
        <v>673</v>
      </c>
      <c r="O14" s="61" t="s">
        <v>684</v>
      </c>
      <c r="P14" s="37"/>
      <c r="Q14" s="37" t="s">
        <v>679</v>
      </c>
      <c r="R14" s="61"/>
    </row>
    <row r="15" spans="1:18" s="7" customFormat="1" ht="120">
      <c r="A15" s="47">
        <v>2</v>
      </c>
      <c r="B15" s="44" t="s">
        <v>647</v>
      </c>
      <c r="C15" s="37" t="s">
        <v>434</v>
      </c>
      <c r="D15" s="31" t="s">
        <v>112</v>
      </c>
      <c r="E15" s="31" t="s">
        <v>583</v>
      </c>
      <c r="F15" s="37" t="s">
        <v>435</v>
      </c>
      <c r="G15" s="34">
        <v>5</v>
      </c>
      <c r="H15" s="34">
        <v>5</v>
      </c>
      <c r="I15" s="34">
        <v>5</v>
      </c>
      <c r="J15" s="35">
        <f>IF(MAX(G15:I15)=0,"",MAX(G15:I15))</f>
        <v>5</v>
      </c>
      <c r="K15" s="35">
        <v>1</v>
      </c>
      <c r="L15" s="34">
        <f>IFERROR(J15*K15,"")</f>
        <v>5</v>
      </c>
      <c r="M15" s="42" t="s">
        <v>597</v>
      </c>
      <c r="N15" s="61" t="s">
        <v>673</v>
      </c>
      <c r="O15" s="61" t="s">
        <v>685</v>
      </c>
      <c r="P15" s="37"/>
      <c r="Q15" s="37" t="s">
        <v>679</v>
      </c>
      <c r="R15" s="61"/>
    </row>
    <row r="16" spans="1:18" s="7" customFormat="1" ht="60">
      <c r="A16" s="48"/>
      <c r="B16" s="45"/>
      <c r="C16" s="38"/>
      <c r="D16" s="31" t="s">
        <v>25</v>
      </c>
      <c r="E16" s="31" t="s">
        <v>69</v>
      </c>
      <c r="F16" s="38" t="str">
        <f>IF($C16&lt;&gt;"",C16,"")</f>
        <v/>
      </c>
      <c r="G16" s="34">
        <v>1</v>
      </c>
      <c r="H16" s="34">
        <v>1</v>
      </c>
      <c r="I16" s="34">
        <v>5</v>
      </c>
      <c r="J16" s="35">
        <f t="shared" ref="J16:J24" si="3">IF(MAX(G16:I16)=0,"",MAX(G16:I16))</f>
        <v>5</v>
      </c>
      <c r="K16" s="35">
        <v>1</v>
      </c>
      <c r="L16" s="34">
        <f t="shared" ref="L16:L24" si="4">IFERROR(J16*K16,"")</f>
        <v>5</v>
      </c>
      <c r="M16" s="42" t="s">
        <v>588</v>
      </c>
      <c r="N16" s="61" t="s">
        <v>673</v>
      </c>
      <c r="O16" s="61" t="s">
        <v>677</v>
      </c>
      <c r="P16" s="37"/>
      <c r="Q16" s="37" t="s">
        <v>679</v>
      </c>
      <c r="R16" s="61"/>
    </row>
    <row r="17" spans="1:18" s="7" customFormat="1" ht="60">
      <c r="A17" s="48"/>
      <c r="B17" s="45"/>
      <c r="C17" s="38"/>
      <c r="D17" s="31" t="s">
        <v>25</v>
      </c>
      <c r="E17" s="31" t="s">
        <v>81</v>
      </c>
      <c r="F17" s="38"/>
      <c r="G17" s="34">
        <v>1</v>
      </c>
      <c r="H17" s="34">
        <v>1</v>
      </c>
      <c r="I17" s="34">
        <v>5</v>
      </c>
      <c r="J17" s="35">
        <f t="shared" si="3"/>
        <v>5</v>
      </c>
      <c r="K17" s="35">
        <v>1</v>
      </c>
      <c r="L17" s="34">
        <f t="shared" si="4"/>
        <v>5</v>
      </c>
      <c r="M17" s="42" t="s">
        <v>589</v>
      </c>
      <c r="N17" s="61" t="s">
        <v>673</v>
      </c>
      <c r="O17" s="61" t="s">
        <v>677</v>
      </c>
      <c r="P17" s="37"/>
      <c r="Q17" s="37" t="s">
        <v>679</v>
      </c>
      <c r="R17" s="61"/>
    </row>
    <row r="18" spans="1:18" s="7" customFormat="1" ht="60">
      <c r="A18" s="48"/>
      <c r="B18" s="45"/>
      <c r="C18" s="38"/>
      <c r="D18" s="31" t="s">
        <v>25</v>
      </c>
      <c r="E18" s="31" t="s">
        <v>90</v>
      </c>
      <c r="F18" s="38"/>
      <c r="G18" s="34">
        <v>1</v>
      </c>
      <c r="H18" s="34">
        <v>1</v>
      </c>
      <c r="I18" s="34">
        <v>5</v>
      </c>
      <c r="J18" s="35">
        <f t="shared" si="3"/>
        <v>5</v>
      </c>
      <c r="K18" s="35">
        <v>1</v>
      </c>
      <c r="L18" s="34">
        <f t="shared" si="4"/>
        <v>5</v>
      </c>
      <c r="M18" s="42" t="s">
        <v>584</v>
      </c>
      <c r="N18" s="61" t="s">
        <v>673</v>
      </c>
      <c r="O18" s="61" t="s">
        <v>677</v>
      </c>
      <c r="P18" s="37"/>
      <c r="Q18" s="37" t="s">
        <v>679</v>
      </c>
      <c r="R18" s="61"/>
    </row>
    <row r="19" spans="1:18" s="7" customFormat="1" ht="60">
      <c r="A19" s="48"/>
      <c r="B19" s="45"/>
      <c r="C19" s="38"/>
      <c r="D19" s="31" t="s">
        <v>25</v>
      </c>
      <c r="E19" s="31" t="s">
        <v>91</v>
      </c>
      <c r="F19" s="38"/>
      <c r="G19" s="34">
        <v>1</v>
      </c>
      <c r="H19" s="34">
        <v>1</v>
      </c>
      <c r="I19" s="34">
        <v>5</v>
      </c>
      <c r="J19" s="35">
        <f t="shared" si="3"/>
        <v>5</v>
      </c>
      <c r="K19" s="35">
        <v>1</v>
      </c>
      <c r="L19" s="34">
        <f t="shared" si="4"/>
        <v>5</v>
      </c>
      <c r="M19" s="42" t="s">
        <v>585</v>
      </c>
      <c r="N19" s="61" t="s">
        <v>673</v>
      </c>
      <c r="O19" s="61" t="s">
        <v>677</v>
      </c>
      <c r="P19" s="37"/>
      <c r="Q19" s="37" t="s">
        <v>679</v>
      </c>
      <c r="R19" s="61"/>
    </row>
    <row r="20" spans="1:18" s="7" customFormat="1" ht="90">
      <c r="A20" s="48"/>
      <c r="B20" s="45"/>
      <c r="C20" s="38"/>
      <c r="D20" s="31" t="s">
        <v>27</v>
      </c>
      <c r="E20" s="31" t="s">
        <v>80</v>
      </c>
      <c r="F20" s="38" t="str">
        <f t="shared" ref="F20:F23" si="5">IF($C20&lt;&gt;"",C20,"")</f>
        <v/>
      </c>
      <c r="G20" s="34">
        <v>1</v>
      </c>
      <c r="H20" s="34">
        <v>1</v>
      </c>
      <c r="I20" s="34">
        <v>5</v>
      </c>
      <c r="J20" s="35">
        <f t="shared" si="3"/>
        <v>5</v>
      </c>
      <c r="K20" s="35">
        <v>1</v>
      </c>
      <c r="L20" s="34">
        <f t="shared" si="4"/>
        <v>5</v>
      </c>
      <c r="M20" s="42" t="s">
        <v>586</v>
      </c>
      <c r="N20" s="61" t="s">
        <v>676</v>
      </c>
      <c r="O20" s="61" t="s">
        <v>678</v>
      </c>
      <c r="P20" s="37"/>
      <c r="Q20" s="37" t="s">
        <v>680</v>
      </c>
      <c r="R20" s="61"/>
    </row>
    <row r="21" spans="1:18" s="7" customFormat="1" ht="60">
      <c r="A21" s="48"/>
      <c r="B21" s="45"/>
      <c r="C21" s="38"/>
      <c r="D21" s="31" t="s">
        <v>32</v>
      </c>
      <c r="E21" s="31" t="s">
        <v>91</v>
      </c>
      <c r="F21" s="38" t="str">
        <f t="shared" si="5"/>
        <v/>
      </c>
      <c r="G21" s="34">
        <v>1</v>
      </c>
      <c r="H21" s="34">
        <v>1</v>
      </c>
      <c r="I21" s="34">
        <v>5</v>
      </c>
      <c r="J21" s="35">
        <f t="shared" si="3"/>
        <v>5</v>
      </c>
      <c r="K21" s="35">
        <v>1</v>
      </c>
      <c r="L21" s="34">
        <f t="shared" si="4"/>
        <v>5</v>
      </c>
      <c r="M21" s="42" t="s">
        <v>576</v>
      </c>
      <c r="N21" s="61" t="s">
        <v>676</v>
      </c>
      <c r="O21" s="61" t="s">
        <v>678</v>
      </c>
      <c r="P21" s="37"/>
      <c r="Q21" s="37" t="s">
        <v>680</v>
      </c>
      <c r="R21" s="60"/>
    </row>
    <row r="22" spans="1:18" s="7" customFormat="1" ht="60">
      <c r="A22" s="48"/>
      <c r="B22" s="45"/>
      <c r="C22" s="38"/>
      <c r="D22" s="31" t="s">
        <v>38</v>
      </c>
      <c r="E22" s="31" t="s">
        <v>68</v>
      </c>
      <c r="F22" s="38" t="str">
        <f t="shared" si="5"/>
        <v/>
      </c>
      <c r="G22" s="34">
        <v>5</v>
      </c>
      <c r="H22" s="34">
        <v>1</v>
      </c>
      <c r="I22" s="34">
        <v>1</v>
      </c>
      <c r="J22" s="35">
        <f t="shared" si="3"/>
        <v>5</v>
      </c>
      <c r="K22" s="35">
        <v>1</v>
      </c>
      <c r="L22" s="41">
        <f t="shared" si="4"/>
        <v>5</v>
      </c>
      <c r="M22" s="42" t="s">
        <v>587</v>
      </c>
      <c r="N22" s="61" t="s">
        <v>673</v>
      </c>
      <c r="O22" s="61" t="s">
        <v>682</v>
      </c>
      <c r="P22" s="37"/>
      <c r="Q22" s="37" t="s">
        <v>679</v>
      </c>
      <c r="R22" s="61"/>
    </row>
    <row r="23" spans="1:18" s="7" customFormat="1" ht="75">
      <c r="A23" s="48"/>
      <c r="B23" s="45"/>
      <c r="C23" s="38"/>
      <c r="D23" s="31" t="s">
        <v>38</v>
      </c>
      <c r="E23" s="31" t="s">
        <v>72</v>
      </c>
      <c r="F23" s="38" t="str">
        <f t="shared" si="5"/>
        <v/>
      </c>
      <c r="G23" s="34">
        <v>5</v>
      </c>
      <c r="H23" s="34">
        <v>5</v>
      </c>
      <c r="I23" s="34">
        <v>5</v>
      </c>
      <c r="J23" s="35">
        <f t="shared" si="3"/>
        <v>5</v>
      </c>
      <c r="K23" s="35">
        <v>1</v>
      </c>
      <c r="L23" s="41">
        <f t="shared" si="4"/>
        <v>5</v>
      </c>
      <c r="M23" s="42" t="s">
        <v>577</v>
      </c>
      <c r="N23" s="61" t="s">
        <v>673</v>
      </c>
      <c r="O23" s="61" t="s">
        <v>682</v>
      </c>
      <c r="P23" s="37"/>
      <c r="Q23" s="37" t="s">
        <v>679</v>
      </c>
      <c r="R23" s="61"/>
    </row>
    <row r="24" spans="1:18" s="7" customFormat="1" ht="75">
      <c r="A24" s="48"/>
      <c r="B24" s="45"/>
      <c r="C24" s="38"/>
      <c r="D24" s="37" t="s">
        <v>11</v>
      </c>
      <c r="E24" s="37" t="s">
        <v>67</v>
      </c>
      <c r="F24" s="38"/>
      <c r="G24" s="47">
        <v>1</v>
      </c>
      <c r="H24" s="47">
        <v>1</v>
      </c>
      <c r="I24" s="47">
        <v>5</v>
      </c>
      <c r="J24" s="71">
        <f t="shared" si="3"/>
        <v>5</v>
      </c>
      <c r="K24" s="71">
        <v>1</v>
      </c>
      <c r="L24" s="72">
        <f t="shared" si="4"/>
        <v>5</v>
      </c>
      <c r="M24" s="73" t="s">
        <v>594</v>
      </c>
      <c r="N24" s="74" t="s">
        <v>673</v>
      </c>
      <c r="O24" s="74" t="s">
        <v>672</v>
      </c>
      <c r="P24" s="37"/>
      <c r="Q24" s="37" t="s">
        <v>679</v>
      </c>
      <c r="R24" s="74"/>
    </row>
    <row r="25" spans="1:18" s="7" customFormat="1" ht="135">
      <c r="A25" s="47">
        <v>3</v>
      </c>
      <c r="B25" s="44" t="s">
        <v>648</v>
      </c>
      <c r="C25" s="37" t="s">
        <v>434</v>
      </c>
      <c r="D25" s="31" t="s">
        <v>112</v>
      </c>
      <c r="E25" s="31" t="s">
        <v>583</v>
      </c>
      <c r="F25" s="37" t="s">
        <v>435</v>
      </c>
      <c r="G25" s="34">
        <v>5</v>
      </c>
      <c r="H25" s="34">
        <v>5</v>
      </c>
      <c r="I25" s="34">
        <v>5</v>
      </c>
      <c r="J25" s="35">
        <f>IF(MAX(G25:I25)=0,"",MAX(G25:I25))</f>
        <v>5</v>
      </c>
      <c r="K25" s="35">
        <v>1</v>
      </c>
      <c r="L25" s="34">
        <f>IFERROR(J25*K25,"")</f>
        <v>5</v>
      </c>
      <c r="M25" s="42" t="s">
        <v>596</v>
      </c>
      <c r="N25" s="61" t="s">
        <v>673</v>
      </c>
      <c r="O25" s="61" t="s">
        <v>685</v>
      </c>
      <c r="P25" s="37"/>
      <c r="Q25" s="37" t="s">
        <v>679</v>
      </c>
      <c r="R25" s="61"/>
    </row>
    <row r="26" spans="1:18" s="7" customFormat="1" ht="75">
      <c r="A26" s="48"/>
      <c r="B26" s="45"/>
      <c r="C26" s="38"/>
      <c r="D26" s="31" t="s">
        <v>25</v>
      </c>
      <c r="E26" s="31" t="s">
        <v>67</v>
      </c>
      <c r="F26" s="38" t="str">
        <f>IF($C26&lt;&gt;"",C26,"")</f>
        <v/>
      </c>
      <c r="G26" s="34">
        <v>1</v>
      </c>
      <c r="H26" s="34">
        <v>1</v>
      </c>
      <c r="I26" s="34">
        <v>5</v>
      </c>
      <c r="J26" s="35">
        <f t="shared" ref="J26:J34" si="6">IF(MAX(G26:I26)=0,"",MAX(G26:I26))</f>
        <v>5</v>
      </c>
      <c r="K26" s="35">
        <v>1</v>
      </c>
      <c r="L26" s="34">
        <f t="shared" ref="L26:L34" si="7">IFERROR(J26*K26,"")</f>
        <v>5</v>
      </c>
      <c r="M26" s="42" t="s">
        <v>594</v>
      </c>
      <c r="N26" s="61" t="s">
        <v>673</v>
      </c>
      <c r="O26" s="61" t="s">
        <v>677</v>
      </c>
      <c r="P26" s="37"/>
      <c r="Q26" s="37" t="s">
        <v>679</v>
      </c>
      <c r="R26" s="61"/>
    </row>
    <row r="27" spans="1:18" s="7" customFormat="1" ht="60">
      <c r="A27" s="48"/>
      <c r="B27" s="45"/>
      <c r="C27" s="38"/>
      <c r="D27" s="31" t="s">
        <v>25</v>
      </c>
      <c r="E27" s="31" t="s">
        <v>69</v>
      </c>
      <c r="F27" s="38" t="str">
        <f>IF($C27&lt;&gt;"",C27,"")</f>
        <v/>
      </c>
      <c r="G27" s="34">
        <v>1</v>
      </c>
      <c r="H27" s="34">
        <v>1</v>
      </c>
      <c r="I27" s="34">
        <v>5</v>
      </c>
      <c r="J27" s="35">
        <f t="shared" si="6"/>
        <v>5</v>
      </c>
      <c r="K27" s="35">
        <v>1</v>
      </c>
      <c r="L27" s="34">
        <f t="shared" si="7"/>
        <v>5</v>
      </c>
      <c r="M27" s="42" t="s">
        <v>590</v>
      </c>
      <c r="N27" s="61" t="s">
        <v>673</v>
      </c>
      <c r="O27" s="61" t="s">
        <v>677</v>
      </c>
      <c r="P27" s="37"/>
      <c r="Q27" s="37" t="s">
        <v>679</v>
      </c>
      <c r="R27" s="61"/>
    </row>
    <row r="28" spans="1:18" s="7" customFormat="1" ht="60">
      <c r="A28" s="48"/>
      <c r="B28" s="45"/>
      <c r="C28" s="38"/>
      <c r="D28" s="31" t="s">
        <v>25</v>
      </c>
      <c r="E28" s="31" t="s">
        <v>81</v>
      </c>
      <c r="F28" s="38"/>
      <c r="G28" s="34">
        <v>1</v>
      </c>
      <c r="H28" s="34">
        <v>1</v>
      </c>
      <c r="I28" s="34">
        <v>5</v>
      </c>
      <c r="J28" s="35">
        <f t="shared" si="6"/>
        <v>5</v>
      </c>
      <c r="K28" s="35">
        <v>1</v>
      </c>
      <c r="L28" s="34">
        <f t="shared" si="7"/>
        <v>5</v>
      </c>
      <c r="M28" s="42" t="s">
        <v>591</v>
      </c>
      <c r="N28" s="61" t="s">
        <v>673</v>
      </c>
      <c r="O28" s="61" t="s">
        <v>677</v>
      </c>
      <c r="P28" s="37"/>
      <c r="Q28" s="37" t="s">
        <v>679</v>
      </c>
      <c r="R28" s="61"/>
    </row>
    <row r="29" spans="1:18" s="7" customFormat="1" ht="60">
      <c r="A29" s="48"/>
      <c r="B29" s="45"/>
      <c r="C29" s="38"/>
      <c r="D29" s="31" t="s">
        <v>25</v>
      </c>
      <c r="E29" s="31" t="s">
        <v>90</v>
      </c>
      <c r="F29" s="38"/>
      <c r="G29" s="34">
        <v>1</v>
      </c>
      <c r="H29" s="34">
        <v>1</v>
      </c>
      <c r="I29" s="34">
        <v>5</v>
      </c>
      <c r="J29" s="35">
        <f t="shared" si="6"/>
        <v>5</v>
      </c>
      <c r="K29" s="35">
        <v>1</v>
      </c>
      <c r="L29" s="34">
        <f t="shared" si="7"/>
        <v>5</v>
      </c>
      <c r="M29" s="42" t="s">
        <v>584</v>
      </c>
      <c r="N29" s="61" t="s">
        <v>673</v>
      </c>
      <c r="O29" s="61" t="s">
        <v>677</v>
      </c>
      <c r="P29" s="37"/>
      <c r="Q29" s="37" t="s">
        <v>679</v>
      </c>
      <c r="R29" s="61"/>
    </row>
    <row r="30" spans="1:18" s="7" customFormat="1" ht="60">
      <c r="A30" s="48"/>
      <c r="B30" s="45"/>
      <c r="C30" s="38"/>
      <c r="D30" s="31" t="s">
        <v>25</v>
      </c>
      <c r="E30" s="31" t="s">
        <v>91</v>
      </c>
      <c r="F30" s="38"/>
      <c r="G30" s="34">
        <v>1</v>
      </c>
      <c r="H30" s="34">
        <v>1</v>
      </c>
      <c r="I30" s="34">
        <v>5</v>
      </c>
      <c r="J30" s="35">
        <f t="shared" si="6"/>
        <v>5</v>
      </c>
      <c r="K30" s="35">
        <v>1</v>
      </c>
      <c r="L30" s="34">
        <f t="shared" si="7"/>
        <v>5</v>
      </c>
      <c r="M30" s="42" t="s">
        <v>585</v>
      </c>
      <c r="N30" s="61" t="s">
        <v>676</v>
      </c>
      <c r="O30" s="61" t="s">
        <v>678</v>
      </c>
      <c r="P30" s="37"/>
      <c r="Q30" s="37" t="s">
        <v>680</v>
      </c>
      <c r="R30" s="61"/>
    </row>
    <row r="31" spans="1:18" s="7" customFormat="1" ht="90">
      <c r="A31" s="48"/>
      <c r="B31" s="45"/>
      <c r="C31" s="38"/>
      <c r="D31" s="31" t="s">
        <v>27</v>
      </c>
      <c r="E31" s="31" t="s">
        <v>80</v>
      </c>
      <c r="F31" s="38" t="str">
        <f t="shared" ref="F31:F34" si="8">IF($C31&lt;&gt;"",C31,"")</f>
        <v/>
      </c>
      <c r="G31" s="34">
        <v>1</v>
      </c>
      <c r="H31" s="34">
        <v>1</v>
      </c>
      <c r="I31" s="34">
        <v>5</v>
      </c>
      <c r="J31" s="35">
        <f t="shared" si="6"/>
        <v>5</v>
      </c>
      <c r="K31" s="35">
        <v>1</v>
      </c>
      <c r="L31" s="34">
        <f t="shared" si="7"/>
        <v>5</v>
      </c>
      <c r="M31" s="42" t="s">
        <v>586</v>
      </c>
      <c r="N31" s="61" t="s">
        <v>676</v>
      </c>
      <c r="O31" s="61" t="s">
        <v>678</v>
      </c>
      <c r="P31" s="37"/>
      <c r="Q31" s="37" t="s">
        <v>680</v>
      </c>
      <c r="R31" s="60"/>
    </row>
    <row r="32" spans="1:18" s="7" customFormat="1" ht="60">
      <c r="A32" s="48"/>
      <c r="B32" s="45"/>
      <c r="C32" s="38"/>
      <c r="D32" s="31" t="s">
        <v>32</v>
      </c>
      <c r="E32" s="31" t="s">
        <v>91</v>
      </c>
      <c r="F32" s="38" t="str">
        <f t="shared" si="8"/>
        <v/>
      </c>
      <c r="G32" s="34">
        <v>1</v>
      </c>
      <c r="H32" s="34">
        <v>1</v>
      </c>
      <c r="I32" s="34">
        <v>5</v>
      </c>
      <c r="J32" s="35">
        <f t="shared" si="6"/>
        <v>5</v>
      </c>
      <c r="K32" s="35">
        <v>1</v>
      </c>
      <c r="L32" s="34">
        <f t="shared" si="7"/>
        <v>5</v>
      </c>
      <c r="M32" s="42" t="s">
        <v>576</v>
      </c>
      <c r="N32" s="61" t="s">
        <v>673</v>
      </c>
      <c r="O32" s="61" t="s">
        <v>678</v>
      </c>
      <c r="P32" s="37"/>
      <c r="Q32" s="37" t="s">
        <v>680</v>
      </c>
      <c r="R32" s="61"/>
    </row>
    <row r="33" spans="1:18" s="7" customFormat="1" ht="60">
      <c r="A33" s="48"/>
      <c r="B33" s="45"/>
      <c r="C33" s="38"/>
      <c r="D33" s="31" t="s">
        <v>38</v>
      </c>
      <c r="E33" s="31" t="s">
        <v>68</v>
      </c>
      <c r="F33" s="38" t="str">
        <f t="shared" si="8"/>
        <v/>
      </c>
      <c r="G33" s="34">
        <v>5</v>
      </c>
      <c r="H33" s="34">
        <v>1</v>
      </c>
      <c r="I33" s="34">
        <v>1</v>
      </c>
      <c r="J33" s="35">
        <f t="shared" si="6"/>
        <v>5</v>
      </c>
      <c r="K33" s="35">
        <v>1</v>
      </c>
      <c r="L33" s="41">
        <f t="shared" si="7"/>
        <v>5</v>
      </c>
      <c r="M33" s="42" t="s">
        <v>587</v>
      </c>
      <c r="N33" s="61" t="s">
        <v>673</v>
      </c>
      <c r="O33" s="61" t="s">
        <v>682</v>
      </c>
      <c r="P33" s="37"/>
      <c r="Q33" s="37" t="s">
        <v>679</v>
      </c>
      <c r="R33" s="61"/>
    </row>
    <row r="34" spans="1:18" s="7" customFormat="1" ht="75">
      <c r="A34" s="48"/>
      <c r="B34" s="45"/>
      <c r="C34" s="38"/>
      <c r="D34" s="31" t="s">
        <v>38</v>
      </c>
      <c r="E34" s="31" t="s">
        <v>72</v>
      </c>
      <c r="F34" s="38" t="str">
        <f t="shared" si="8"/>
        <v/>
      </c>
      <c r="G34" s="34">
        <v>5</v>
      </c>
      <c r="H34" s="34">
        <v>5</v>
      </c>
      <c r="I34" s="34">
        <v>5</v>
      </c>
      <c r="J34" s="35">
        <f t="shared" si="6"/>
        <v>5</v>
      </c>
      <c r="K34" s="35">
        <v>1</v>
      </c>
      <c r="L34" s="41">
        <f t="shared" si="7"/>
        <v>5</v>
      </c>
      <c r="M34" s="42" t="s">
        <v>577</v>
      </c>
      <c r="N34" s="61" t="s">
        <v>673</v>
      </c>
      <c r="O34" s="61" t="s">
        <v>683</v>
      </c>
      <c r="P34" s="37"/>
      <c r="Q34" s="37" t="s">
        <v>679</v>
      </c>
      <c r="R34" s="61"/>
    </row>
    <row r="35" spans="1:18" s="7" customFormat="1">
      <c r="A35" s="48"/>
      <c r="B35" s="45"/>
      <c r="C35" s="38"/>
      <c r="D35" s="31"/>
      <c r="E35" s="31"/>
      <c r="F35" s="38"/>
      <c r="G35" s="34"/>
      <c r="H35" s="34"/>
      <c r="I35" s="34"/>
      <c r="J35" s="35"/>
      <c r="K35" s="35"/>
      <c r="L35" s="41"/>
      <c r="M35" s="42"/>
      <c r="N35" s="60"/>
      <c r="O35" s="60"/>
      <c r="P35" s="37"/>
      <c r="Q35" s="37"/>
      <c r="R35" s="60"/>
    </row>
    <row r="36" spans="1:18" s="7" customFormat="1">
      <c r="A36" s="49"/>
      <c r="B36" s="46"/>
      <c r="C36" s="39"/>
      <c r="D36" s="31"/>
      <c r="E36" s="31"/>
      <c r="F36" s="39"/>
      <c r="G36" s="34"/>
      <c r="H36" s="34"/>
      <c r="I36" s="34"/>
      <c r="J36" s="35"/>
      <c r="K36" s="35"/>
      <c r="L36" s="41"/>
      <c r="M36" s="42"/>
      <c r="N36" s="60"/>
      <c r="O36" s="60"/>
      <c r="P36" s="37"/>
      <c r="Q36" s="37"/>
      <c r="R36" s="60"/>
    </row>
    <row r="37" spans="1:18" s="7" customFormat="1" ht="60">
      <c r="A37" s="47">
        <v>4</v>
      </c>
      <c r="B37" s="44" t="s">
        <v>634</v>
      </c>
      <c r="C37" s="37" t="s">
        <v>592</v>
      </c>
      <c r="D37" s="31" t="s">
        <v>112</v>
      </c>
      <c r="E37" s="31" t="s">
        <v>600</v>
      </c>
      <c r="F37" s="37" t="s">
        <v>692</v>
      </c>
      <c r="G37" s="34">
        <v>5</v>
      </c>
      <c r="H37" s="34">
        <v>5</v>
      </c>
      <c r="I37" s="34">
        <v>5</v>
      </c>
      <c r="J37" s="35">
        <f>IF(MAX(G37:I37)=0,"",MAX(G37:I37))</f>
        <v>5</v>
      </c>
      <c r="K37" s="35">
        <v>1</v>
      </c>
      <c r="L37" s="34">
        <f>IFERROR(J37*K37,"")</f>
        <v>5</v>
      </c>
      <c r="M37" s="42" t="s">
        <v>571</v>
      </c>
      <c r="N37" s="61" t="s">
        <v>673</v>
      </c>
      <c r="O37" s="61" t="s">
        <v>686</v>
      </c>
      <c r="P37" s="37" t="s">
        <v>692</v>
      </c>
      <c r="Q37" s="37" t="s">
        <v>668</v>
      </c>
      <c r="R37" s="62">
        <v>43445</v>
      </c>
    </row>
    <row r="38" spans="1:18" s="7" customFormat="1" ht="60">
      <c r="A38" s="48"/>
      <c r="B38" s="45"/>
      <c r="C38" s="38"/>
      <c r="D38" s="31" t="s">
        <v>36</v>
      </c>
      <c r="E38" s="31" t="s">
        <v>67</v>
      </c>
      <c r="F38" s="38" t="str">
        <f>IF($C38&lt;&gt;"",C38,"")</f>
        <v/>
      </c>
      <c r="G38" s="34">
        <v>1</v>
      </c>
      <c r="H38" s="34">
        <v>1</v>
      </c>
      <c r="I38" s="34">
        <v>5</v>
      </c>
      <c r="J38" s="35">
        <f t="shared" ref="J38:J48" si="9">IF(MAX(G38:I38)=0,"",MAX(G38:I38))</f>
        <v>5</v>
      </c>
      <c r="K38" s="35">
        <v>1</v>
      </c>
      <c r="L38" s="34">
        <f t="shared" ref="L38:L48" si="10">IFERROR(J38*K38,"")</f>
        <v>5</v>
      </c>
      <c r="M38" s="42" t="s">
        <v>601</v>
      </c>
      <c r="N38" s="61" t="s">
        <v>673</v>
      </c>
      <c r="O38" s="61" t="s">
        <v>677</v>
      </c>
      <c r="P38" s="37"/>
      <c r="Q38" s="37" t="s">
        <v>679</v>
      </c>
      <c r="R38" s="61"/>
    </row>
    <row r="39" spans="1:18" s="7" customFormat="1" ht="60">
      <c r="A39" s="48"/>
      <c r="B39" s="45"/>
      <c r="C39" s="38"/>
      <c r="D39" s="31" t="s">
        <v>25</v>
      </c>
      <c r="E39" s="31" t="s">
        <v>69</v>
      </c>
      <c r="F39" s="38" t="str">
        <f>IF($C39&lt;&gt;"",C39,"")</f>
        <v/>
      </c>
      <c r="G39" s="34">
        <v>1</v>
      </c>
      <c r="H39" s="34">
        <v>1</v>
      </c>
      <c r="I39" s="34">
        <v>5</v>
      </c>
      <c r="J39" s="35">
        <f t="shared" si="9"/>
        <v>5</v>
      </c>
      <c r="K39" s="35">
        <v>1</v>
      </c>
      <c r="L39" s="34">
        <f t="shared" si="10"/>
        <v>5</v>
      </c>
      <c r="M39" s="42" t="s">
        <v>598</v>
      </c>
      <c r="N39" s="61" t="s">
        <v>673</v>
      </c>
      <c r="O39" s="61" t="s">
        <v>677</v>
      </c>
      <c r="P39" s="37"/>
      <c r="Q39" s="37" t="s">
        <v>679</v>
      </c>
      <c r="R39" s="61"/>
    </row>
    <row r="40" spans="1:18" s="7" customFormat="1" ht="60">
      <c r="A40" s="48"/>
      <c r="B40" s="45"/>
      <c r="C40" s="38"/>
      <c r="D40" s="31" t="s">
        <v>25</v>
      </c>
      <c r="E40" s="31" t="s">
        <v>81</v>
      </c>
      <c r="F40" s="38"/>
      <c r="G40" s="34">
        <v>1</v>
      </c>
      <c r="H40" s="34">
        <v>1</v>
      </c>
      <c r="I40" s="34">
        <v>5</v>
      </c>
      <c r="J40" s="35">
        <f t="shared" si="9"/>
        <v>5</v>
      </c>
      <c r="K40" s="35">
        <v>1</v>
      </c>
      <c r="L40" s="34">
        <f t="shared" si="10"/>
        <v>5</v>
      </c>
      <c r="M40" s="42" t="s">
        <v>599</v>
      </c>
      <c r="N40" s="61" t="s">
        <v>673</v>
      </c>
      <c r="O40" s="61" t="s">
        <v>677</v>
      </c>
      <c r="P40" s="37"/>
      <c r="Q40" s="37" t="s">
        <v>679</v>
      </c>
      <c r="R40" s="61"/>
    </row>
    <row r="41" spans="1:18" s="7" customFormat="1" ht="60">
      <c r="A41" s="48"/>
      <c r="B41" s="45"/>
      <c r="C41" s="38"/>
      <c r="D41" s="31" t="s">
        <v>25</v>
      </c>
      <c r="E41" s="31" t="s">
        <v>90</v>
      </c>
      <c r="F41" s="38"/>
      <c r="G41" s="34">
        <v>1</v>
      </c>
      <c r="H41" s="34">
        <v>1</v>
      </c>
      <c r="I41" s="34">
        <v>5</v>
      </c>
      <c r="J41" s="35">
        <f t="shared" si="9"/>
        <v>5</v>
      </c>
      <c r="K41" s="35">
        <v>1</v>
      </c>
      <c r="L41" s="34">
        <f t="shared" si="10"/>
        <v>5</v>
      </c>
      <c r="M41" s="42" t="s">
        <v>572</v>
      </c>
      <c r="N41" s="61" t="s">
        <v>673</v>
      </c>
      <c r="O41" s="61" t="s">
        <v>677</v>
      </c>
      <c r="P41" s="37"/>
      <c r="Q41" s="37" t="s">
        <v>679</v>
      </c>
      <c r="R41" s="61"/>
    </row>
    <row r="42" spans="1:18" s="7" customFormat="1" ht="60">
      <c r="A42" s="48"/>
      <c r="B42" s="45"/>
      <c r="C42" s="38"/>
      <c r="D42" s="31" t="s">
        <v>25</v>
      </c>
      <c r="E42" s="31" t="s">
        <v>91</v>
      </c>
      <c r="F42" s="38"/>
      <c r="G42" s="34">
        <v>1</v>
      </c>
      <c r="H42" s="34">
        <v>1</v>
      </c>
      <c r="I42" s="34">
        <v>5</v>
      </c>
      <c r="J42" s="35">
        <f t="shared" si="9"/>
        <v>5</v>
      </c>
      <c r="K42" s="35">
        <v>1</v>
      </c>
      <c r="L42" s="34">
        <f t="shared" si="10"/>
        <v>5</v>
      </c>
      <c r="M42" s="42" t="s">
        <v>574</v>
      </c>
      <c r="N42" s="61" t="s">
        <v>676</v>
      </c>
      <c r="O42" s="61" t="s">
        <v>677</v>
      </c>
      <c r="P42" s="37"/>
      <c r="Q42" s="37" t="s">
        <v>679</v>
      </c>
      <c r="R42" s="61"/>
    </row>
    <row r="43" spans="1:18" s="7" customFormat="1" ht="60">
      <c r="A43" s="48"/>
      <c r="B43" s="45"/>
      <c r="C43" s="38"/>
      <c r="D43" s="31" t="s">
        <v>27</v>
      </c>
      <c r="E43" s="31" t="s">
        <v>80</v>
      </c>
      <c r="F43" s="38" t="str">
        <f t="shared" ref="F43:F48" si="11">IF($C43&lt;&gt;"",C43,"")</f>
        <v/>
      </c>
      <c r="G43" s="34">
        <v>1</v>
      </c>
      <c r="H43" s="34">
        <v>1</v>
      </c>
      <c r="I43" s="34">
        <v>5</v>
      </c>
      <c r="J43" s="35">
        <f t="shared" si="9"/>
        <v>5</v>
      </c>
      <c r="K43" s="35">
        <v>1</v>
      </c>
      <c r="L43" s="34">
        <f t="shared" si="10"/>
        <v>5</v>
      </c>
      <c r="M43" s="42" t="s">
        <v>602</v>
      </c>
      <c r="N43" s="61" t="s">
        <v>676</v>
      </c>
      <c r="O43" s="61" t="s">
        <v>678</v>
      </c>
      <c r="P43" s="37"/>
      <c r="Q43" s="37" t="s">
        <v>680</v>
      </c>
      <c r="R43" s="61"/>
    </row>
    <row r="44" spans="1:18" s="7" customFormat="1" ht="60">
      <c r="A44" s="48"/>
      <c r="B44" s="45"/>
      <c r="C44" s="38"/>
      <c r="D44" s="31" t="s">
        <v>32</v>
      </c>
      <c r="E44" s="31" t="s">
        <v>91</v>
      </c>
      <c r="F44" s="38" t="str">
        <f t="shared" si="11"/>
        <v/>
      </c>
      <c r="G44" s="34">
        <v>1</v>
      </c>
      <c r="H44" s="34">
        <v>1</v>
      </c>
      <c r="I44" s="34">
        <v>5</v>
      </c>
      <c r="J44" s="35">
        <f t="shared" si="9"/>
        <v>5</v>
      </c>
      <c r="K44" s="35">
        <v>1</v>
      </c>
      <c r="L44" s="34">
        <f t="shared" si="10"/>
        <v>5</v>
      </c>
      <c r="M44" s="42" t="s">
        <v>603</v>
      </c>
      <c r="N44" s="61" t="s">
        <v>676</v>
      </c>
      <c r="O44" s="61" t="s">
        <v>678</v>
      </c>
      <c r="P44" s="37"/>
      <c r="Q44" s="37" t="s">
        <v>680</v>
      </c>
      <c r="R44" s="61"/>
    </row>
    <row r="45" spans="1:18" s="7" customFormat="1" ht="60">
      <c r="A45" s="48"/>
      <c r="B45" s="45"/>
      <c r="C45" s="38"/>
      <c r="D45" s="31" t="s">
        <v>38</v>
      </c>
      <c r="E45" s="31" t="s">
        <v>68</v>
      </c>
      <c r="F45" s="38" t="str">
        <f t="shared" si="11"/>
        <v/>
      </c>
      <c r="G45" s="34">
        <v>5</v>
      </c>
      <c r="H45" s="34">
        <v>1</v>
      </c>
      <c r="I45" s="34">
        <v>1</v>
      </c>
      <c r="J45" s="35">
        <f t="shared" si="9"/>
        <v>5</v>
      </c>
      <c r="K45" s="35">
        <v>1</v>
      </c>
      <c r="L45" s="41">
        <f t="shared" si="10"/>
        <v>5</v>
      </c>
      <c r="M45" s="42" t="s">
        <v>578</v>
      </c>
      <c r="N45" s="61" t="s">
        <v>673</v>
      </c>
      <c r="O45" s="61" t="s">
        <v>682</v>
      </c>
      <c r="P45" s="37"/>
      <c r="Q45" s="37" t="s">
        <v>679</v>
      </c>
      <c r="R45" s="61"/>
    </row>
    <row r="46" spans="1:18" s="7" customFormat="1" ht="75">
      <c r="A46" s="48"/>
      <c r="B46" s="45"/>
      <c r="C46" s="38"/>
      <c r="D46" s="31" t="s">
        <v>38</v>
      </c>
      <c r="E46" s="31" t="s">
        <v>72</v>
      </c>
      <c r="F46" s="38" t="str">
        <f t="shared" si="11"/>
        <v/>
      </c>
      <c r="G46" s="34">
        <v>5</v>
      </c>
      <c r="H46" s="34">
        <v>5</v>
      </c>
      <c r="I46" s="34">
        <v>5</v>
      </c>
      <c r="J46" s="35">
        <f t="shared" si="9"/>
        <v>5</v>
      </c>
      <c r="K46" s="35">
        <v>1</v>
      </c>
      <c r="L46" s="41">
        <f t="shared" si="10"/>
        <v>5</v>
      </c>
      <c r="M46" s="42" t="s">
        <v>577</v>
      </c>
      <c r="N46" s="61" t="s">
        <v>673</v>
      </c>
      <c r="O46" s="61" t="s">
        <v>683</v>
      </c>
      <c r="P46" s="37"/>
      <c r="Q46" s="37" t="s">
        <v>679</v>
      </c>
      <c r="R46" s="61"/>
    </row>
    <row r="47" spans="1:18" s="7" customFormat="1" ht="45">
      <c r="A47" s="48"/>
      <c r="B47" s="45"/>
      <c r="C47" s="38"/>
      <c r="D47" s="31" t="s">
        <v>22</v>
      </c>
      <c r="E47" s="31" t="s">
        <v>68</v>
      </c>
      <c r="F47" s="38" t="str">
        <f t="shared" si="11"/>
        <v/>
      </c>
      <c r="G47" s="34">
        <v>5</v>
      </c>
      <c r="H47" s="34">
        <v>5</v>
      </c>
      <c r="I47" s="34">
        <v>1</v>
      </c>
      <c r="J47" s="35">
        <f t="shared" si="9"/>
        <v>5</v>
      </c>
      <c r="K47" s="35">
        <v>1</v>
      </c>
      <c r="L47" s="41">
        <f t="shared" si="10"/>
        <v>5</v>
      </c>
      <c r="M47" s="42" t="s">
        <v>604</v>
      </c>
      <c r="N47" s="61" t="s">
        <v>673</v>
      </c>
      <c r="O47" s="61" t="s">
        <v>682</v>
      </c>
      <c r="P47" s="37"/>
      <c r="Q47" s="37" t="s">
        <v>679</v>
      </c>
      <c r="R47" s="61"/>
    </row>
    <row r="48" spans="1:18" s="7" customFormat="1" ht="90">
      <c r="A48" s="49"/>
      <c r="B48" s="46"/>
      <c r="C48" s="39"/>
      <c r="D48" s="31" t="s">
        <v>33</v>
      </c>
      <c r="E48" s="31" t="s">
        <v>68</v>
      </c>
      <c r="F48" s="39" t="str">
        <f t="shared" si="11"/>
        <v/>
      </c>
      <c r="G48" s="34">
        <v>5</v>
      </c>
      <c r="H48" s="34">
        <v>5</v>
      </c>
      <c r="I48" s="34">
        <v>1</v>
      </c>
      <c r="J48" s="35">
        <f t="shared" si="9"/>
        <v>5</v>
      </c>
      <c r="K48" s="35">
        <v>1</v>
      </c>
      <c r="L48" s="41">
        <f t="shared" si="10"/>
        <v>5</v>
      </c>
      <c r="M48" s="42" t="s">
        <v>605</v>
      </c>
      <c r="N48" s="61" t="s">
        <v>673</v>
      </c>
      <c r="O48" s="61" t="s">
        <v>682</v>
      </c>
      <c r="P48" s="37"/>
      <c r="Q48" s="37" t="s">
        <v>679</v>
      </c>
      <c r="R48" s="61"/>
    </row>
    <row r="49" spans="1:18" s="7" customFormat="1" ht="69.75" customHeight="1">
      <c r="A49" s="47">
        <v>5</v>
      </c>
      <c r="B49" s="44" t="s">
        <v>228</v>
      </c>
      <c r="C49" s="37" t="s">
        <v>692</v>
      </c>
      <c r="D49" s="31" t="s">
        <v>112</v>
      </c>
      <c r="E49" s="31" t="s">
        <v>600</v>
      </c>
      <c r="F49" s="37" t="s">
        <v>692</v>
      </c>
      <c r="G49" s="34">
        <v>5</v>
      </c>
      <c r="H49" s="34">
        <v>5</v>
      </c>
      <c r="I49" s="34">
        <v>5</v>
      </c>
      <c r="J49" s="35">
        <f>IF(MAX(G49:I49)=0,"",MAX(G49:I49))</f>
        <v>5</v>
      </c>
      <c r="K49" s="35">
        <v>1</v>
      </c>
      <c r="L49" s="34">
        <f>IFERROR(J49*K49,"")</f>
        <v>5</v>
      </c>
      <c r="M49" s="42" t="s">
        <v>571</v>
      </c>
      <c r="N49" s="61" t="s">
        <v>673</v>
      </c>
      <c r="O49" s="61" t="s">
        <v>687</v>
      </c>
      <c r="P49" s="37"/>
      <c r="Q49" s="37" t="s">
        <v>668</v>
      </c>
      <c r="R49" s="62">
        <v>43445</v>
      </c>
    </row>
    <row r="50" spans="1:18" s="7" customFormat="1" ht="60">
      <c r="A50" s="48"/>
      <c r="B50" s="45"/>
      <c r="C50" s="38"/>
      <c r="D50" s="31" t="s">
        <v>36</v>
      </c>
      <c r="E50" s="31" t="s">
        <v>67</v>
      </c>
      <c r="F50" s="38" t="str">
        <f>IF($C50&lt;&gt;"",C50,"")</f>
        <v/>
      </c>
      <c r="G50" s="34">
        <v>1</v>
      </c>
      <c r="H50" s="34">
        <v>1</v>
      </c>
      <c r="I50" s="34">
        <v>5</v>
      </c>
      <c r="J50" s="35">
        <f t="shared" ref="J50:J60" si="12">IF(MAX(G50:I50)=0,"",MAX(G50:I50))</f>
        <v>5</v>
      </c>
      <c r="K50" s="35">
        <v>1</v>
      </c>
      <c r="L50" s="34">
        <f t="shared" ref="L50:L60" si="13">IFERROR(J50*K50,"")</f>
        <v>5</v>
      </c>
      <c r="M50" s="42" t="s">
        <v>606</v>
      </c>
      <c r="N50" s="61" t="s">
        <v>673</v>
      </c>
      <c r="O50" s="61" t="s">
        <v>677</v>
      </c>
      <c r="P50" s="37"/>
      <c r="Q50" s="37" t="s">
        <v>679</v>
      </c>
      <c r="R50" s="61"/>
    </row>
    <row r="51" spans="1:18" s="7" customFormat="1" ht="60">
      <c r="A51" s="48"/>
      <c r="B51" s="45"/>
      <c r="C51" s="38"/>
      <c r="D51" s="31" t="s">
        <v>25</v>
      </c>
      <c r="E51" s="31" t="s">
        <v>69</v>
      </c>
      <c r="F51" s="38" t="str">
        <f>IF($C51&lt;&gt;"",C51,"")</f>
        <v/>
      </c>
      <c r="G51" s="34">
        <v>1</v>
      </c>
      <c r="H51" s="34">
        <v>1</v>
      </c>
      <c r="I51" s="34">
        <v>5</v>
      </c>
      <c r="J51" s="35">
        <f t="shared" si="12"/>
        <v>5</v>
      </c>
      <c r="K51" s="35">
        <v>1</v>
      </c>
      <c r="L51" s="34">
        <f t="shared" si="13"/>
        <v>5</v>
      </c>
      <c r="M51" s="42" t="s">
        <v>607</v>
      </c>
      <c r="N51" s="61" t="s">
        <v>673</v>
      </c>
      <c r="O51" s="61" t="s">
        <v>677</v>
      </c>
      <c r="P51" s="37"/>
      <c r="Q51" s="37" t="s">
        <v>679</v>
      </c>
      <c r="R51" s="61"/>
    </row>
    <row r="52" spans="1:18" s="7" customFormat="1" ht="60">
      <c r="A52" s="48"/>
      <c r="B52" s="45"/>
      <c r="C52" s="38"/>
      <c r="D52" s="31" t="s">
        <v>25</v>
      </c>
      <c r="E52" s="31" t="s">
        <v>81</v>
      </c>
      <c r="F52" s="38"/>
      <c r="G52" s="34">
        <v>1</v>
      </c>
      <c r="H52" s="34">
        <v>1</v>
      </c>
      <c r="I52" s="34">
        <v>5</v>
      </c>
      <c r="J52" s="35">
        <f t="shared" si="12"/>
        <v>5</v>
      </c>
      <c r="K52" s="35">
        <v>1</v>
      </c>
      <c r="L52" s="34">
        <f t="shared" si="13"/>
        <v>5</v>
      </c>
      <c r="M52" s="42" t="s">
        <v>608</v>
      </c>
      <c r="N52" s="61" t="s">
        <v>673</v>
      </c>
      <c r="O52" s="61" t="s">
        <v>677</v>
      </c>
      <c r="P52" s="37"/>
      <c r="Q52" s="37" t="s">
        <v>679</v>
      </c>
      <c r="R52" s="61"/>
    </row>
    <row r="53" spans="1:18" s="7" customFormat="1" ht="60">
      <c r="A53" s="48"/>
      <c r="B53" s="45"/>
      <c r="C53" s="38"/>
      <c r="D53" s="31" t="s">
        <v>25</v>
      </c>
      <c r="E53" s="31" t="s">
        <v>90</v>
      </c>
      <c r="F53" s="38"/>
      <c r="G53" s="34">
        <v>1</v>
      </c>
      <c r="H53" s="34">
        <v>1</v>
      </c>
      <c r="I53" s="34">
        <v>5</v>
      </c>
      <c r="J53" s="35">
        <f t="shared" si="12"/>
        <v>5</v>
      </c>
      <c r="K53" s="35">
        <v>1</v>
      </c>
      <c r="L53" s="34">
        <f t="shared" si="13"/>
        <v>5</v>
      </c>
      <c r="M53" s="42" t="s">
        <v>609</v>
      </c>
      <c r="N53" s="61" t="s">
        <v>673</v>
      </c>
      <c r="O53" s="61" t="s">
        <v>677</v>
      </c>
      <c r="P53" s="37"/>
      <c r="Q53" s="37" t="s">
        <v>679</v>
      </c>
      <c r="R53" s="61"/>
    </row>
    <row r="54" spans="1:18" s="7" customFormat="1" ht="60">
      <c r="A54" s="48"/>
      <c r="B54" s="45"/>
      <c r="C54" s="38"/>
      <c r="D54" s="31" t="s">
        <v>25</v>
      </c>
      <c r="E54" s="31" t="s">
        <v>91</v>
      </c>
      <c r="F54" s="38"/>
      <c r="G54" s="34">
        <v>1</v>
      </c>
      <c r="H54" s="34">
        <v>1</v>
      </c>
      <c r="I54" s="34">
        <v>5</v>
      </c>
      <c r="J54" s="35">
        <f t="shared" si="12"/>
        <v>5</v>
      </c>
      <c r="K54" s="35">
        <v>1</v>
      </c>
      <c r="L54" s="34">
        <f t="shared" si="13"/>
        <v>5</v>
      </c>
      <c r="M54" s="42" t="s">
        <v>574</v>
      </c>
      <c r="N54" s="61" t="s">
        <v>673</v>
      </c>
      <c r="O54" s="61" t="s">
        <v>677</v>
      </c>
      <c r="P54" s="37"/>
      <c r="Q54" s="37" t="s">
        <v>679</v>
      </c>
      <c r="R54" s="60"/>
    </row>
    <row r="55" spans="1:18" s="7" customFormat="1" ht="60">
      <c r="A55" s="48"/>
      <c r="B55" s="45"/>
      <c r="C55" s="38"/>
      <c r="D55" s="31" t="s">
        <v>27</v>
      </c>
      <c r="E55" s="31" t="s">
        <v>80</v>
      </c>
      <c r="F55" s="38" t="str">
        <f t="shared" ref="F55:F60" si="14">IF($C55&lt;&gt;"",C55,"")</f>
        <v/>
      </c>
      <c r="G55" s="34">
        <v>1</v>
      </c>
      <c r="H55" s="34">
        <v>1</v>
      </c>
      <c r="I55" s="34">
        <v>5</v>
      </c>
      <c r="J55" s="35">
        <f t="shared" si="12"/>
        <v>5</v>
      </c>
      <c r="K55" s="35">
        <v>1</v>
      </c>
      <c r="L55" s="34">
        <f t="shared" si="13"/>
        <v>5</v>
      </c>
      <c r="M55" s="42" t="s">
        <v>602</v>
      </c>
      <c r="N55" s="61" t="s">
        <v>676</v>
      </c>
      <c r="O55" s="61" t="s">
        <v>678</v>
      </c>
      <c r="P55" s="37"/>
      <c r="Q55" s="37" t="s">
        <v>680</v>
      </c>
      <c r="R55" s="61"/>
    </row>
    <row r="56" spans="1:18" s="7" customFormat="1" ht="60">
      <c r="A56" s="48"/>
      <c r="B56" s="45"/>
      <c r="C56" s="38"/>
      <c r="D56" s="31" t="s">
        <v>32</v>
      </c>
      <c r="E56" s="31" t="s">
        <v>91</v>
      </c>
      <c r="F56" s="38" t="str">
        <f t="shared" si="14"/>
        <v/>
      </c>
      <c r="G56" s="34">
        <v>1</v>
      </c>
      <c r="H56" s="34">
        <v>1</v>
      </c>
      <c r="I56" s="34">
        <v>5</v>
      </c>
      <c r="J56" s="35">
        <f t="shared" si="12"/>
        <v>5</v>
      </c>
      <c r="K56" s="35">
        <v>1</v>
      </c>
      <c r="L56" s="34">
        <f t="shared" si="13"/>
        <v>5</v>
      </c>
      <c r="M56" s="42" t="s">
        <v>603</v>
      </c>
      <c r="N56" s="61" t="s">
        <v>676</v>
      </c>
      <c r="O56" s="61" t="s">
        <v>678</v>
      </c>
      <c r="P56" s="37"/>
      <c r="Q56" s="37" t="s">
        <v>680</v>
      </c>
      <c r="R56" s="61"/>
    </row>
    <row r="57" spans="1:18" s="7" customFormat="1" ht="45">
      <c r="A57" s="48"/>
      <c r="B57" s="45"/>
      <c r="C57" s="38"/>
      <c r="D57" s="31" t="s">
        <v>19</v>
      </c>
      <c r="E57" s="31" t="s">
        <v>70</v>
      </c>
      <c r="F57" s="38" t="str">
        <f t="shared" si="14"/>
        <v/>
      </c>
      <c r="G57" s="34">
        <v>1</v>
      </c>
      <c r="H57" s="34">
        <v>1</v>
      </c>
      <c r="I57" s="34">
        <v>5</v>
      </c>
      <c r="J57" s="35">
        <f t="shared" si="12"/>
        <v>5</v>
      </c>
      <c r="K57" s="35">
        <v>1</v>
      </c>
      <c r="L57" s="34">
        <f t="shared" si="13"/>
        <v>5</v>
      </c>
      <c r="M57" s="42" t="s">
        <v>610</v>
      </c>
      <c r="N57" s="61" t="s">
        <v>673</v>
      </c>
      <c r="O57" s="61" t="s">
        <v>688</v>
      </c>
      <c r="P57" s="37"/>
      <c r="Q57" s="37" t="s">
        <v>670</v>
      </c>
      <c r="R57" s="61"/>
    </row>
    <row r="58" spans="1:18" s="7" customFormat="1" ht="60">
      <c r="A58" s="48"/>
      <c r="B58" s="45"/>
      <c r="C58" s="38"/>
      <c r="D58" s="31" t="s">
        <v>36</v>
      </c>
      <c r="E58" s="31" t="s">
        <v>67</v>
      </c>
      <c r="F58" s="38" t="str">
        <f t="shared" si="14"/>
        <v/>
      </c>
      <c r="G58" s="34">
        <v>1</v>
      </c>
      <c r="H58" s="34">
        <v>1</v>
      </c>
      <c r="I58" s="34">
        <v>5</v>
      </c>
      <c r="J58" s="35">
        <f t="shared" si="12"/>
        <v>5</v>
      </c>
      <c r="K58" s="35">
        <v>1</v>
      </c>
      <c r="L58" s="41">
        <f t="shared" si="13"/>
        <v>5</v>
      </c>
      <c r="M58" s="42" t="s">
        <v>611</v>
      </c>
      <c r="N58" s="61" t="s">
        <v>673</v>
      </c>
      <c r="O58" s="61" t="s">
        <v>677</v>
      </c>
      <c r="P58" s="37"/>
      <c r="Q58" s="37" t="s">
        <v>679</v>
      </c>
      <c r="R58" s="61"/>
    </row>
    <row r="59" spans="1:18" s="7" customFormat="1" ht="60">
      <c r="A59" s="48"/>
      <c r="B59" s="45"/>
      <c r="C59" s="38"/>
      <c r="D59" s="31" t="s">
        <v>50</v>
      </c>
      <c r="E59" s="30" t="s">
        <v>72</v>
      </c>
      <c r="F59" s="38" t="str">
        <f t="shared" si="14"/>
        <v/>
      </c>
      <c r="G59" s="34">
        <v>1</v>
      </c>
      <c r="H59" s="34">
        <v>1</v>
      </c>
      <c r="I59" s="34">
        <v>5</v>
      </c>
      <c r="J59" s="35">
        <f t="shared" si="12"/>
        <v>5</v>
      </c>
      <c r="K59" s="35">
        <v>1</v>
      </c>
      <c r="L59" s="41">
        <f t="shared" si="13"/>
        <v>5</v>
      </c>
      <c r="M59" s="42" t="s">
        <v>612</v>
      </c>
      <c r="N59" s="61" t="s">
        <v>673</v>
      </c>
      <c r="O59" s="61" t="s">
        <v>683</v>
      </c>
      <c r="P59" s="37"/>
      <c r="Q59" s="37" t="s">
        <v>679</v>
      </c>
      <c r="R59" s="61"/>
    </row>
    <row r="60" spans="1:18" s="7" customFormat="1">
      <c r="A60" s="49"/>
      <c r="B60" s="46"/>
      <c r="C60" s="39"/>
      <c r="D60" s="31"/>
      <c r="E60" s="31"/>
      <c r="F60" s="39" t="str">
        <f t="shared" si="14"/>
        <v/>
      </c>
      <c r="G60" s="34"/>
      <c r="H60" s="34"/>
      <c r="I60" s="34"/>
      <c r="J60" s="35" t="str">
        <f t="shared" si="12"/>
        <v/>
      </c>
      <c r="K60" s="35"/>
      <c r="L60" s="41" t="str">
        <f t="shared" si="13"/>
        <v/>
      </c>
      <c r="M60" s="42"/>
      <c r="N60" s="60"/>
      <c r="O60" s="60"/>
      <c r="P60" s="37"/>
      <c r="Q60" s="37"/>
      <c r="R60" s="60"/>
    </row>
    <row r="61" spans="1:18" s="7" customFormat="1" ht="69.75" customHeight="1">
      <c r="A61" s="47">
        <v>6</v>
      </c>
      <c r="B61" s="44" t="s">
        <v>557</v>
      </c>
      <c r="C61" s="37" t="s">
        <v>692</v>
      </c>
      <c r="D61" s="31" t="s">
        <v>112</v>
      </c>
      <c r="E61" s="31" t="s">
        <v>600</v>
      </c>
      <c r="F61" s="37" t="s">
        <v>692</v>
      </c>
      <c r="G61" s="34">
        <v>5</v>
      </c>
      <c r="H61" s="34">
        <v>5</v>
      </c>
      <c r="I61" s="34">
        <v>5</v>
      </c>
      <c r="J61" s="35">
        <f>IF(MAX(G61:I61)=0,"",MAX(G61:I61))</f>
        <v>5</v>
      </c>
      <c r="K61" s="35">
        <v>1</v>
      </c>
      <c r="L61" s="34">
        <f>IFERROR(J61*K61,"")</f>
        <v>5</v>
      </c>
      <c r="M61" s="42" t="s">
        <v>571</v>
      </c>
      <c r="N61" s="61" t="s">
        <v>673</v>
      </c>
      <c r="O61" s="61" t="s">
        <v>687</v>
      </c>
      <c r="P61" s="37"/>
      <c r="Q61" s="37" t="s">
        <v>668</v>
      </c>
      <c r="R61" s="62">
        <v>43445</v>
      </c>
    </row>
    <row r="62" spans="1:18" s="7" customFormat="1" ht="60">
      <c r="A62" s="48"/>
      <c r="B62" s="45"/>
      <c r="C62" s="38"/>
      <c r="D62" s="31" t="s">
        <v>36</v>
      </c>
      <c r="E62" s="31" t="s">
        <v>67</v>
      </c>
      <c r="F62" s="38" t="str">
        <f>IF($C62&lt;&gt;"",C62,"")</f>
        <v/>
      </c>
      <c r="G62" s="34">
        <v>1</v>
      </c>
      <c r="H62" s="34">
        <v>1</v>
      </c>
      <c r="I62" s="34">
        <v>5</v>
      </c>
      <c r="J62" s="35">
        <f t="shared" ref="J62:J72" si="15">IF(MAX(G62:I62)=0,"",MAX(G62:I62))</f>
        <v>5</v>
      </c>
      <c r="K62" s="35">
        <v>1</v>
      </c>
      <c r="L62" s="34">
        <f t="shared" ref="L62:L72" si="16">IFERROR(J62*K62,"")</f>
        <v>5</v>
      </c>
      <c r="M62" s="42" t="s">
        <v>613</v>
      </c>
      <c r="N62" s="61" t="s">
        <v>673</v>
      </c>
      <c r="O62" s="60" t="s">
        <v>677</v>
      </c>
      <c r="P62" s="37"/>
      <c r="Q62" s="37" t="s">
        <v>679</v>
      </c>
      <c r="R62" s="60"/>
    </row>
    <row r="63" spans="1:18" s="7" customFormat="1" ht="60">
      <c r="A63" s="48"/>
      <c r="B63" s="45"/>
      <c r="C63" s="38"/>
      <c r="D63" s="31" t="s">
        <v>25</v>
      </c>
      <c r="E63" s="31" t="s">
        <v>69</v>
      </c>
      <c r="F63" s="38" t="str">
        <f>IF($C63&lt;&gt;"",C63,"")</f>
        <v/>
      </c>
      <c r="G63" s="34">
        <v>1</v>
      </c>
      <c r="H63" s="34">
        <v>1</v>
      </c>
      <c r="I63" s="34">
        <v>5</v>
      </c>
      <c r="J63" s="35">
        <f t="shared" si="15"/>
        <v>5</v>
      </c>
      <c r="K63" s="35">
        <v>1</v>
      </c>
      <c r="L63" s="34">
        <f t="shared" si="16"/>
        <v>5</v>
      </c>
      <c r="M63" s="42" t="s">
        <v>616</v>
      </c>
      <c r="N63" s="61" t="s">
        <v>673</v>
      </c>
      <c r="O63" s="60" t="s">
        <v>677</v>
      </c>
      <c r="P63" s="37"/>
      <c r="Q63" s="37" t="s">
        <v>679</v>
      </c>
      <c r="R63" s="60"/>
    </row>
    <row r="64" spans="1:18" s="7" customFormat="1" ht="60">
      <c r="A64" s="48"/>
      <c r="B64" s="45"/>
      <c r="C64" s="38"/>
      <c r="D64" s="31" t="s">
        <v>25</v>
      </c>
      <c r="E64" s="31" t="s">
        <v>81</v>
      </c>
      <c r="F64" s="38"/>
      <c r="G64" s="34">
        <v>1</v>
      </c>
      <c r="H64" s="34">
        <v>1</v>
      </c>
      <c r="I64" s="34">
        <v>5</v>
      </c>
      <c r="J64" s="35">
        <f t="shared" si="15"/>
        <v>5</v>
      </c>
      <c r="K64" s="35">
        <v>1</v>
      </c>
      <c r="L64" s="34">
        <f t="shared" si="16"/>
        <v>5</v>
      </c>
      <c r="M64" s="42" t="s">
        <v>614</v>
      </c>
      <c r="N64" s="61" t="s">
        <v>673</v>
      </c>
      <c r="O64" s="60" t="s">
        <v>677</v>
      </c>
      <c r="P64" s="37"/>
      <c r="Q64" s="37" t="s">
        <v>679</v>
      </c>
      <c r="R64" s="60"/>
    </row>
    <row r="65" spans="1:18" s="7" customFormat="1" ht="60">
      <c r="A65" s="48"/>
      <c r="B65" s="45"/>
      <c r="C65" s="38"/>
      <c r="D65" s="31" t="s">
        <v>25</v>
      </c>
      <c r="E65" s="31" t="s">
        <v>90</v>
      </c>
      <c r="F65" s="38"/>
      <c r="G65" s="34">
        <v>1</v>
      </c>
      <c r="H65" s="34">
        <v>1</v>
      </c>
      <c r="I65" s="34">
        <v>5</v>
      </c>
      <c r="J65" s="35">
        <f t="shared" si="15"/>
        <v>5</v>
      </c>
      <c r="K65" s="35">
        <v>1</v>
      </c>
      <c r="L65" s="34">
        <f t="shared" si="16"/>
        <v>5</v>
      </c>
      <c r="M65" s="42" t="s">
        <v>615</v>
      </c>
      <c r="N65" s="61" t="s">
        <v>673</v>
      </c>
      <c r="O65" s="60" t="s">
        <v>677</v>
      </c>
      <c r="P65" s="37"/>
      <c r="Q65" s="37" t="s">
        <v>679</v>
      </c>
      <c r="R65" s="60"/>
    </row>
    <row r="66" spans="1:18" s="7" customFormat="1" ht="60">
      <c r="A66" s="48"/>
      <c r="B66" s="45"/>
      <c r="C66" s="38"/>
      <c r="D66" s="31" t="s">
        <v>25</v>
      </c>
      <c r="E66" s="31" t="s">
        <v>91</v>
      </c>
      <c r="F66" s="38"/>
      <c r="G66" s="34">
        <v>1</v>
      </c>
      <c r="H66" s="34">
        <v>1</v>
      </c>
      <c r="I66" s="34">
        <v>5</v>
      </c>
      <c r="J66" s="35">
        <f t="shared" si="15"/>
        <v>5</v>
      </c>
      <c r="K66" s="35">
        <v>1</v>
      </c>
      <c r="L66" s="34">
        <f t="shared" si="16"/>
        <v>5</v>
      </c>
      <c r="M66" s="42" t="s">
        <v>574</v>
      </c>
      <c r="N66" s="61" t="s">
        <v>673</v>
      </c>
      <c r="O66" s="60" t="s">
        <v>677</v>
      </c>
      <c r="P66" s="37"/>
      <c r="Q66" s="37" t="s">
        <v>679</v>
      </c>
      <c r="R66" s="60"/>
    </row>
    <row r="67" spans="1:18" s="7" customFormat="1" ht="60">
      <c r="A67" s="48"/>
      <c r="B67" s="45"/>
      <c r="C67" s="38"/>
      <c r="D67" s="31" t="s">
        <v>27</v>
      </c>
      <c r="E67" s="31" t="s">
        <v>80</v>
      </c>
      <c r="F67" s="38" t="str">
        <f t="shared" ref="F67:F72" si="17">IF($C67&lt;&gt;"",C67,"")</f>
        <v/>
      </c>
      <c r="G67" s="34">
        <v>1</v>
      </c>
      <c r="H67" s="34">
        <v>1</v>
      </c>
      <c r="I67" s="34">
        <v>5</v>
      </c>
      <c r="J67" s="35">
        <f t="shared" si="15"/>
        <v>5</v>
      </c>
      <c r="K67" s="35">
        <v>1</v>
      </c>
      <c r="L67" s="34">
        <f t="shared" si="16"/>
        <v>5</v>
      </c>
      <c r="M67" s="42" t="s">
        <v>602</v>
      </c>
      <c r="N67" s="61" t="s">
        <v>676</v>
      </c>
      <c r="O67" s="61" t="s">
        <v>678</v>
      </c>
      <c r="P67" s="37"/>
      <c r="Q67" s="37" t="s">
        <v>680</v>
      </c>
      <c r="R67" s="61"/>
    </row>
    <row r="68" spans="1:18" s="7" customFormat="1" ht="60">
      <c r="A68" s="48"/>
      <c r="B68" s="45"/>
      <c r="C68" s="38"/>
      <c r="D68" s="31" t="s">
        <v>32</v>
      </c>
      <c r="E68" s="31" t="s">
        <v>91</v>
      </c>
      <c r="F68" s="38" t="str">
        <f t="shared" si="17"/>
        <v/>
      </c>
      <c r="G68" s="34">
        <v>1</v>
      </c>
      <c r="H68" s="34">
        <v>1</v>
      </c>
      <c r="I68" s="34">
        <v>5</v>
      </c>
      <c r="J68" s="35">
        <f t="shared" si="15"/>
        <v>5</v>
      </c>
      <c r="K68" s="35">
        <v>1</v>
      </c>
      <c r="L68" s="34">
        <f t="shared" si="16"/>
        <v>5</v>
      </c>
      <c r="M68" s="42" t="s">
        <v>603</v>
      </c>
      <c r="N68" s="61" t="s">
        <v>676</v>
      </c>
      <c r="O68" s="61" t="s">
        <v>678</v>
      </c>
      <c r="P68" s="37"/>
      <c r="Q68" s="37" t="s">
        <v>680</v>
      </c>
      <c r="R68" s="61"/>
    </row>
    <row r="69" spans="1:18" s="7" customFormat="1" ht="45">
      <c r="A69" s="48"/>
      <c r="B69" s="45"/>
      <c r="C69" s="38"/>
      <c r="D69" s="31" t="s">
        <v>19</v>
      </c>
      <c r="E69" s="31" t="s">
        <v>70</v>
      </c>
      <c r="F69" s="38" t="str">
        <f t="shared" si="17"/>
        <v/>
      </c>
      <c r="G69" s="34">
        <v>1</v>
      </c>
      <c r="H69" s="34">
        <v>1</v>
      </c>
      <c r="I69" s="34">
        <v>5</v>
      </c>
      <c r="J69" s="35">
        <f t="shared" si="15"/>
        <v>5</v>
      </c>
      <c r="K69" s="35">
        <v>1</v>
      </c>
      <c r="L69" s="34">
        <f t="shared" si="16"/>
        <v>5</v>
      </c>
      <c r="M69" s="42" t="s">
        <v>610</v>
      </c>
      <c r="N69" s="61" t="s">
        <v>673</v>
      </c>
      <c r="O69" s="60" t="s">
        <v>689</v>
      </c>
      <c r="P69" s="37" t="s">
        <v>692</v>
      </c>
      <c r="Q69" s="37" t="s">
        <v>670</v>
      </c>
      <c r="R69" s="62">
        <v>43445</v>
      </c>
    </row>
    <row r="70" spans="1:18" s="7" customFormat="1" ht="45">
      <c r="A70" s="48"/>
      <c r="B70" s="45"/>
      <c r="C70" s="38"/>
      <c r="D70" s="31" t="s">
        <v>36</v>
      </c>
      <c r="E70" s="31" t="s">
        <v>67</v>
      </c>
      <c r="F70" s="38" t="str">
        <f t="shared" si="17"/>
        <v/>
      </c>
      <c r="G70" s="34">
        <v>1</v>
      </c>
      <c r="H70" s="34">
        <v>1</v>
      </c>
      <c r="I70" s="34">
        <v>5</v>
      </c>
      <c r="J70" s="35">
        <f t="shared" si="15"/>
        <v>5</v>
      </c>
      <c r="K70" s="35">
        <v>1</v>
      </c>
      <c r="L70" s="41">
        <f t="shared" si="16"/>
        <v>5</v>
      </c>
      <c r="M70" s="42" t="s">
        <v>611</v>
      </c>
      <c r="N70" s="61" t="s">
        <v>673</v>
      </c>
      <c r="O70" s="61" t="s">
        <v>672</v>
      </c>
      <c r="P70" s="37"/>
      <c r="Q70" s="37" t="s">
        <v>679</v>
      </c>
      <c r="R70" s="61"/>
    </row>
    <row r="71" spans="1:18" s="7" customFormat="1" ht="60">
      <c r="A71" s="48"/>
      <c r="B71" s="45"/>
      <c r="C71" s="38"/>
      <c r="D71" s="31" t="s">
        <v>50</v>
      </c>
      <c r="E71" s="30" t="s">
        <v>72</v>
      </c>
      <c r="F71" s="38" t="str">
        <f t="shared" si="17"/>
        <v/>
      </c>
      <c r="G71" s="34">
        <v>1</v>
      </c>
      <c r="H71" s="34">
        <v>1</v>
      </c>
      <c r="I71" s="34">
        <v>5</v>
      </c>
      <c r="J71" s="35">
        <f t="shared" si="15"/>
        <v>5</v>
      </c>
      <c r="K71" s="35">
        <v>1</v>
      </c>
      <c r="L71" s="41">
        <f t="shared" si="16"/>
        <v>5</v>
      </c>
      <c r="M71" s="42" t="s">
        <v>612</v>
      </c>
      <c r="N71" s="61" t="s">
        <v>673</v>
      </c>
      <c r="O71" s="61" t="s">
        <v>683</v>
      </c>
      <c r="P71" s="37"/>
      <c r="Q71" s="37" t="s">
        <v>679</v>
      </c>
      <c r="R71" s="61"/>
    </row>
    <row r="72" spans="1:18" s="7" customFormat="1">
      <c r="A72" s="49"/>
      <c r="B72" s="46"/>
      <c r="C72" s="39"/>
      <c r="D72" s="31"/>
      <c r="E72" s="31"/>
      <c r="F72" s="39" t="str">
        <f t="shared" si="17"/>
        <v/>
      </c>
      <c r="G72" s="34"/>
      <c r="H72" s="34"/>
      <c r="I72" s="34"/>
      <c r="J72" s="35" t="str">
        <f t="shared" si="15"/>
        <v/>
      </c>
      <c r="K72" s="35"/>
      <c r="L72" s="41" t="str">
        <f t="shared" si="16"/>
        <v/>
      </c>
      <c r="M72" s="42"/>
      <c r="N72" s="61"/>
      <c r="O72" s="61"/>
      <c r="P72" s="37"/>
      <c r="Q72" s="37"/>
      <c r="R72" s="61"/>
    </row>
    <row r="73" spans="1:18" s="7" customFormat="1" ht="69.75" customHeight="1">
      <c r="A73" s="47">
        <v>7</v>
      </c>
      <c r="B73" s="44" t="s">
        <v>229</v>
      </c>
      <c r="C73" s="37" t="s">
        <v>692</v>
      </c>
      <c r="D73" s="31" t="s">
        <v>112</v>
      </c>
      <c r="E73" s="31" t="s">
        <v>600</v>
      </c>
      <c r="F73" s="37" t="s">
        <v>692</v>
      </c>
      <c r="G73" s="34">
        <v>5</v>
      </c>
      <c r="H73" s="34">
        <v>5</v>
      </c>
      <c r="I73" s="34">
        <v>5</v>
      </c>
      <c r="J73" s="35">
        <f>IF(MAX(G73:I73)=0,"",MAX(G73:I73))</f>
        <v>5</v>
      </c>
      <c r="K73" s="35">
        <v>1</v>
      </c>
      <c r="L73" s="34">
        <f>IFERROR(J73*K73,"")</f>
        <v>5</v>
      </c>
      <c r="M73" s="42" t="s">
        <v>571</v>
      </c>
      <c r="N73" s="61" t="s">
        <v>673</v>
      </c>
      <c r="O73" s="61" t="s">
        <v>687</v>
      </c>
      <c r="P73" s="37" t="s">
        <v>692</v>
      </c>
      <c r="Q73" s="37" t="s">
        <v>668</v>
      </c>
      <c r="R73" s="62">
        <v>43445</v>
      </c>
    </row>
    <row r="74" spans="1:18" s="7" customFormat="1" ht="60">
      <c r="A74" s="48"/>
      <c r="B74" s="45"/>
      <c r="C74" s="38"/>
      <c r="D74" s="31" t="s">
        <v>36</v>
      </c>
      <c r="E74" s="31" t="s">
        <v>67</v>
      </c>
      <c r="F74" s="38" t="str">
        <f>IF($C74&lt;&gt;"",C74,"")</f>
        <v/>
      </c>
      <c r="G74" s="34">
        <v>1</v>
      </c>
      <c r="H74" s="34">
        <v>1</v>
      </c>
      <c r="I74" s="34">
        <v>5</v>
      </c>
      <c r="J74" s="35">
        <f t="shared" ref="J74:J84" si="18">IF(MAX(G74:I74)=0,"",MAX(G74:I74))</f>
        <v>5</v>
      </c>
      <c r="K74" s="35">
        <v>1</v>
      </c>
      <c r="L74" s="34">
        <f t="shared" ref="L74:L84" si="19">IFERROR(J74*K74,"")</f>
        <v>5</v>
      </c>
      <c r="M74" s="42" t="s">
        <v>613</v>
      </c>
      <c r="N74" s="61" t="s">
        <v>673</v>
      </c>
      <c r="O74" s="61" t="s">
        <v>672</v>
      </c>
      <c r="P74" s="37"/>
      <c r="Q74" s="37" t="s">
        <v>679</v>
      </c>
      <c r="R74" s="61"/>
    </row>
    <row r="75" spans="1:18" s="7" customFormat="1" ht="60">
      <c r="A75" s="48"/>
      <c r="B75" s="45"/>
      <c r="C75" s="38"/>
      <c r="D75" s="31" t="s">
        <v>25</v>
      </c>
      <c r="E75" s="31" t="s">
        <v>69</v>
      </c>
      <c r="F75" s="38" t="str">
        <f>IF($C75&lt;&gt;"",C75,"")</f>
        <v/>
      </c>
      <c r="G75" s="34">
        <v>1</v>
      </c>
      <c r="H75" s="34">
        <v>1</v>
      </c>
      <c r="I75" s="34">
        <v>5</v>
      </c>
      <c r="J75" s="35">
        <f t="shared" si="18"/>
        <v>5</v>
      </c>
      <c r="K75" s="35">
        <v>1</v>
      </c>
      <c r="L75" s="34">
        <f t="shared" si="19"/>
        <v>5</v>
      </c>
      <c r="M75" s="42" t="s">
        <v>616</v>
      </c>
      <c r="N75" s="61" t="s">
        <v>673</v>
      </c>
      <c r="O75" s="60" t="s">
        <v>677</v>
      </c>
      <c r="P75" s="37"/>
      <c r="Q75" s="37" t="s">
        <v>679</v>
      </c>
      <c r="R75" s="60"/>
    </row>
    <row r="76" spans="1:18" s="7" customFormat="1" ht="60">
      <c r="A76" s="48"/>
      <c r="B76" s="45"/>
      <c r="C76" s="38"/>
      <c r="D76" s="31" t="s">
        <v>25</v>
      </c>
      <c r="E76" s="31" t="s">
        <v>81</v>
      </c>
      <c r="F76" s="38"/>
      <c r="G76" s="34">
        <v>1</v>
      </c>
      <c r="H76" s="34">
        <v>1</v>
      </c>
      <c r="I76" s="34">
        <v>5</v>
      </c>
      <c r="J76" s="35">
        <f t="shared" si="18"/>
        <v>5</v>
      </c>
      <c r="K76" s="35">
        <v>1</v>
      </c>
      <c r="L76" s="34">
        <f t="shared" si="19"/>
        <v>5</v>
      </c>
      <c r="M76" s="42" t="s">
        <v>614</v>
      </c>
      <c r="N76" s="61" t="s">
        <v>673</v>
      </c>
      <c r="O76" s="60" t="s">
        <v>677</v>
      </c>
      <c r="P76" s="37"/>
      <c r="Q76" s="37" t="s">
        <v>679</v>
      </c>
      <c r="R76" s="60"/>
    </row>
    <row r="77" spans="1:18" s="7" customFormat="1" ht="60">
      <c r="A77" s="48"/>
      <c r="B77" s="45"/>
      <c r="C77" s="38"/>
      <c r="D77" s="31" t="s">
        <v>25</v>
      </c>
      <c r="E77" s="31" t="s">
        <v>90</v>
      </c>
      <c r="F77" s="38"/>
      <c r="G77" s="34">
        <v>1</v>
      </c>
      <c r="H77" s="34">
        <v>1</v>
      </c>
      <c r="I77" s="34">
        <v>5</v>
      </c>
      <c r="J77" s="35">
        <f t="shared" si="18"/>
        <v>5</v>
      </c>
      <c r="K77" s="35">
        <v>1</v>
      </c>
      <c r="L77" s="34">
        <f t="shared" si="19"/>
        <v>5</v>
      </c>
      <c r="M77" s="42" t="s">
        <v>609</v>
      </c>
      <c r="N77" s="61" t="s">
        <v>673</v>
      </c>
      <c r="O77" s="60" t="s">
        <v>677</v>
      </c>
      <c r="P77" s="37"/>
      <c r="Q77" s="37" t="s">
        <v>679</v>
      </c>
      <c r="R77" s="60"/>
    </row>
    <row r="78" spans="1:18" s="7" customFormat="1" ht="60">
      <c r="A78" s="48"/>
      <c r="B78" s="45"/>
      <c r="C78" s="38"/>
      <c r="D78" s="31" t="s">
        <v>25</v>
      </c>
      <c r="E78" s="31" t="s">
        <v>91</v>
      </c>
      <c r="F78" s="38"/>
      <c r="G78" s="34">
        <v>1</v>
      </c>
      <c r="H78" s="34">
        <v>1</v>
      </c>
      <c r="I78" s="34">
        <v>5</v>
      </c>
      <c r="J78" s="35">
        <f t="shared" si="18"/>
        <v>5</v>
      </c>
      <c r="K78" s="35">
        <v>1</v>
      </c>
      <c r="L78" s="34">
        <f t="shared" si="19"/>
        <v>5</v>
      </c>
      <c r="M78" s="42" t="s">
        <v>574</v>
      </c>
      <c r="N78" s="61" t="s">
        <v>673</v>
      </c>
      <c r="O78" s="60" t="s">
        <v>677</v>
      </c>
      <c r="P78" s="37"/>
      <c r="Q78" s="37" t="s">
        <v>679</v>
      </c>
      <c r="R78" s="60"/>
    </row>
    <row r="79" spans="1:18" s="7" customFormat="1" ht="60">
      <c r="A79" s="48"/>
      <c r="B79" s="45"/>
      <c r="C79" s="38"/>
      <c r="D79" s="31" t="s">
        <v>27</v>
      </c>
      <c r="E79" s="31" t="s">
        <v>80</v>
      </c>
      <c r="F79" s="38" t="str">
        <f t="shared" ref="F79:F84" si="20">IF($C79&lt;&gt;"",C79,"")</f>
        <v/>
      </c>
      <c r="G79" s="34">
        <v>1</v>
      </c>
      <c r="H79" s="34">
        <v>1</v>
      </c>
      <c r="I79" s="34">
        <v>5</v>
      </c>
      <c r="J79" s="35">
        <f t="shared" si="18"/>
        <v>5</v>
      </c>
      <c r="K79" s="35">
        <v>1</v>
      </c>
      <c r="L79" s="34">
        <f t="shared" si="19"/>
        <v>5</v>
      </c>
      <c r="M79" s="42" t="s">
        <v>602</v>
      </c>
      <c r="N79" s="61" t="s">
        <v>676</v>
      </c>
      <c r="O79" s="61" t="s">
        <v>678</v>
      </c>
      <c r="P79" s="37"/>
      <c r="Q79" s="37" t="s">
        <v>680</v>
      </c>
      <c r="R79" s="61"/>
    </row>
    <row r="80" spans="1:18" s="7" customFormat="1" ht="60">
      <c r="A80" s="48"/>
      <c r="B80" s="45"/>
      <c r="C80" s="38"/>
      <c r="D80" s="31" t="s">
        <v>32</v>
      </c>
      <c r="E80" s="31" t="s">
        <v>91</v>
      </c>
      <c r="F80" s="38" t="str">
        <f t="shared" si="20"/>
        <v/>
      </c>
      <c r="G80" s="34">
        <v>1</v>
      </c>
      <c r="H80" s="34">
        <v>1</v>
      </c>
      <c r="I80" s="34">
        <v>5</v>
      </c>
      <c r="J80" s="35">
        <f t="shared" si="18"/>
        <v>5</v>
      </c>
      <c r="K80" s="35">
        <v>1</v>
      </c>
      <c r="L80" s="34">
        <f t="shared" si="19"/>
        <v>5</v>
      </c>
      <c r="M80" s="42" t="s">
        <v>603</v>
      </c>
      <c r="N80" s="61" t="s">
        <v>676</v>
      </c>
      <c r="O80" s="61" t="s">
        <v>678</v>
      </c>
      <c r="P80" s="37"/>
      <c r="Q80" s="37" t="s">
        <v>680</v>
      </c>
      <c r="R80" s="61"/>
    </row>
    <row r="81" spans="1:18" s="7" customFormat="1" ht="45">
      <c r="A81" s="48"/>
      <c r="B81" s="45"/>
      <c r="C81" s="38"/>
      <c r="D81" s="31" t="s">
        <v>19</v>
      </c>
      <c r="E81" s="31" t="s">
        <v>70</v>
      </c>
      <c r="F81" s="38" t="str">
        <f t="shared" si="20"/>
        <v/>
      </c>
      <c r="G81" s="34">
        <v>1</v>
      </c>
      <c r="H81" s="34">
        <v>1</v>
      </c>
      <c r="I81" s="34">
        <v>5</v>
      </c>
      <c r="J81" s="35">
        <f t="shared" si="18"/>
        <v>5</v>
      </c>
      <c r="K81" s="35">
        <v>1</v>
      </c>
      <c r="L81" s="34">
        <f t="shared" si="19"/>
        <v>5</v>
      </c>
      <c r="M81" s="42" t="s">
        <v>610</v>
      </c>
      <c r="N81" s="61" t="s">
        <v>673</v>
      </c>
      <c r="O81" s="61" t="s">
        <v>689</v>
      </c>
      <c r="P81" s="37" t="s">
        <v>692</v>
      </c>
      <c r="Q81" s="37" t="s">
        <v>668</v>
      </c>
      <c r="R81" s="62">
        <v>43445</v>
      </c>
    </row>
    <row r="82" spans="1:18" s="7" customFormat="1" ht="45">
      <c r="A82" s="48"/>
      <c r="B82" s="45"/>
      <c r="C82" s="38"/>
      <c r="D82" s="31" t="s">
        <v>36</v>
      </c>
      <c r="E82" s="31" t="s">
        <v>67</v>
      </c>
      <c r="F82" s="38" t="str">
        <f t="shared" si="20"/>
        <v/>
      </c>
      <c r="G82" s="34">
        <v>1</v>
      </c>
      <c r="H82" s="34">
        <v>1</v>
      </c>
      <c r="I82" s="34">
        <v>5</v>
      </c>
      <c r="J82" s="35">
        <f t="shared" si="18"/>
        <v>5</v>
      </c>
      <c r="K82" s="35">
        <v>1</v>
      </c>
      <c r="L82" s="41">
        <f t="shared" si="19"/>
        <v>5</v>
      </c>
      <c r="M82" s="42" t="s">
        <v>617</v>
      </c>
      <c r="N82" s="61" t="s">
        <v>673</v>
      </c>
      <c r="O82" s="61" t="s">
        <v>672</v>
      </c>
      <c r="P82" s="37"/>
      <c r="Q82" s="37" t="s">
        <v>679</v>
      </c>
      <c r="R82" s="61"/>
    </row>
    <row r="83" spans="1:18" s="7" customFormat="1" ht="60">
      <c r="A83" s="48"/>
      <c r="B83" s="45"/>
      <c r="C83" s="38"/>
      <c r="D83" s="31" t="s">
        <v>50</v>
      </c>
      <c r="E83" s="30" t="s">
        <v>72</v>
      </c>
      <c r="F83" s="38" t="str">
        <f t="shared" si="20"/>
        <v/>
      </c>
      <c r="G83" s="34">
        <v>1</v>
      </c>
      <c r="H83" s="34">
        <v>1</v>
      </c>
      <c r="I83" s="34">
        <v>5</v>
      </c>
      <c r="J83" s="35">
        <f t="shared" si="18"/>
        <v>5</v>
      </c>
      <c r="K83" s="35">
        <v>1</v>
      </c>
      <c r="L83" s="41">
        <f t="shared" si="19"/>
        <v>5</v>
      </c>
      <c r="M83" s="42" t="s">
        <v>612</v>
      </c>
      <c r="N83" s="61" t="s">
        <v>673</v>
      </c>
      <c r="O83" s="61" t="s">
        <v>683</v>
      </c>
      <c r="P83" s="37"/>
      <c r="Q83" s="37" t="s">
        <v>679</v>
      </c>
      <c r="R83" s="61"/>
    </row>
    <row r="84" spans="1:18" s="7" customFormat="1">
      <c r="A84" s="49"/>
      <c r="B84" s="46"/>
      <c r="C84" s="39"/>
      <c r="D84" s="31"/>
      <c r="E84" s="31"/>
      <c r="F84" s="39" t="str">
        <f t="shared" si="20"/>
        <v/>
      </c>
      <c r="G84" s="34"/>
      <c r="H84" s="34"/>
      <c r="I84" s="34"/>
      <c r="J84" s="35" t="str">
        <f t="shared" si="18"/>
        <v/>
      </c>
      <c r="K84" s="35"/>
      <c r="L84" s="41" t="str">
        <f t="shared" si="19"/>
        <v/>
      </c>
      <c r="M84" s="42"/>
      <c r="N84" s="60"/>
      <c r="O84" s="60"/>
      <c r="P84" s="37"/>
      <c r="Q84" s="37"/>
      <c r="R84" s="60"/>
    </row>
    <row r="85" spans="1:18" s="7" customFormat="1" ht="69.75" customHeight="1">
      <c r="A85" s="47">
        <v>8</v>
      </c>
      <c r="B85" s="44" t="s">
        <v>639</v>
      </c>
      <c r="C85" s="37" t="s">
        <v>434</v>
      </c>
      <c r="D85" s="31" t="s">
        <v>112</v>
      </c>
      <c r="E85" s="31" t="s">
        <v>600</v>
      </c>
      <c r="F85" s="37" t="s">
        <v>435</v>
      </c>
      <c r="G85" s="34">
        <v>5</v>
      </c>
      <c r="H85" s="34">
        <v>5</v>
      </c>
      <c r="I85" s="34">
        <v>5</v>
      </c>
      <c r="J85" s="35">
        <f>IF(MAX(G85:I85)=0,"",MAX(G85:I85))</f>
        <v>5</v>
      </c>
      <c r="K85" s="35">
        <v>1</v>
      </c>
      <c r="L85" s="34">
        <f>IFERROR(J85*K85,"")</f>
        <v>5</v>
      </c>
      <c r="M85" s="42" t="s">
        <v>571</v>
      </c>
      <c r="N85" s="61" t="s">
        <v>673</v>
      </c>
      <c r="O85" s="61" t="s">
        <v>685</v>
      </c>
      <c r="P85" s="37"/>
      <c r="Q85" s="37" t="s">
        <v>679</v>
      </c>
      <c r="R85" s="61"/>
    </row>
    <row r="86" spans="1:18" s="7" customFormat="1" ht="75">
      <c r="A86" s="48"/>
      <c r="B86" s="45"/>
      <c r="C86" s="38"/>
      <c r="D86" s="31" t="s">
        <v>36</v>
      </c>
      <c r="E86" s="31" t="s">
        <v>67</v>
      </c>
      <c r="F86" s="38" t="str">
        <f>IF($C86&lt;&gt;"",C86,"")</f>
        <v/>
      </c>
      <c r="G86" s="34">
        <v>1</v>
      </c>
      <c r="H86" s="34">
        <v>1</v>
      </c>
      <c r="I86" s="34">
        <v>5</v>
      </c>
      <c r="J86" s="35">
        <f t="shared" ref="J86:J96" si="21">IF(MAX(G86:I86)=0,"",MAX(G86:I86))</f>
        <v>5</v>
      </c>
      <c r="K86" s="35">
        <v>1</v>
      </c>
      <c r="L86" s="34">
        <f t="shared" ref="L86:L96" si="22">IFERROR(J86*K86,"")</f>
        <v>5</v>
      </c>
      <c r="M86" s="42" t="s">
        <v>618</v>
      </c>
      <c r="N86" s="61" t="s">
        <v>673</v>
      </c>
      <c r="O86" s="61" t="s">
        <v>672</v>
      </c>
      <c r="P86" s="37"/>
      <c r="Q86" s="37" t="s">
        <v>679</v>
      </c>
      <c r="R86" s="61"/>
    </row>
    <row r="87" spans="1:18" s="7" customFormat="1" ht="60">
      <c r="A87" s="48"/>
      <c r="B87" s="45"/>
      <c r="C87" s="38"/>
      <c r="D87" s="31" t="s">
        <v>25</v>
      </c>
      <c r="E87" s="31" t="s">
        <v>69</v>
      </c>
      <c r="F87" s="38" t="str">
        <f>IF($C87&lt;&gt;"",C87,"")</f>
        <v/>
      </c>
      <c r="G87" s="34">
        <v>1</v>
      </c>
      <c r="H87" s="34">
        <v>1</v>
      </c>
      <c r="I87" s="34">
        <v>5</v>
      </c>
      <c r="J87" s="35">
        <f t="shared" si="21"/>
        <v>5</v>
      </c>
      <c r="K87" s="35">
        <v>1</v>
      </c>
      <c r="L87" s="34">
        <f t="shared" si="22"/>
        <v>5</v>
      </c>
      <c r="M87" s="42" t="s">
        <v>607</v>
      </c>
      <c r="N87" s="61" t="s">
        <v>673</v>
      </c>
      <c r="O87" s="61" t="s">
        <v>677</v>
      </c>
      <c r="P87" s="37"/>
      <c r="Q87" s="37" t="s">
        <v>679</v>
      </c>
      <c r="R87" s="61"/>
    </row>
    <row r="88" spans="1:18" s="7" customFormat="1" ht="60">
      <c r="A88" s="48"/>
      <c r="B88" s="45"/>
      <c r="C88" s="38"/>
      <c r="D88" s="31" t="s">
        <v>25</v>
      </c>
      <c r="E88" s="31" t="s">
        <v>81</v>
      </c>
      <c r="F88" s="38"/>
      <c r="G88" s="34">
        <v>1</v>
      </c>
      <c r="H88" s="34">
        <v>1</v>
      </c>
      <c r="I88" s="34">
        <v>5</v>
      </c>
      <c r="J88" s="35">
        <f t="shared" si="21"/>
        <v>5</v>
      </c>
      <c r="K88" s="35">
        <v>1</v>
      </c>
      <c r="L88" s="34">
        <f t="shared" si="22"/>
        <v>5</v>
      </c>
      <c r="M88" s="42" t="s">
        <v>619</v>
      </c>
      <c r="N88" s="61" t="s">
        <v>673</v>
      </c>
      <c r="O88" s="61" t="s">
        <v>677</v>
      </c>
      <c r="P88" s="37"/>
      <c r="Q88" s="37" t="s">
        <v>679</v>
      </c>
      <c r="R88" s="61"/>
    </row>
    <row r="89" spans="1:18" s="7" customFormat="1" ht="60">
      <c r="A89" s="48"/>
      <c r="B89" s="45"/>
      <c r="C89" s="38"/>
      <c r="D89" s="31" t="s">
        <v>25</v>
      </c>
      <c r="E89" s="31" t="s">
        <v>90</v>
      </c>
      <c r="F89" s="38"/>
      <c r="G89" s="34">
        <v>1</v>
      </c>
      <c r="H89" s="34">
        <v>1</v>
      </c>
      <c r="I89" s="34">
        <v>5</v>
      </c>
      <c r="J89" s="35">
        <f t="shared" si="21"/>
        <v>5</v>
      </c>
      <c r="K89" s="35">
        <v>1</v>
      </c>
      <c r="L89" s="34">
        <f t="shared" si="22"/>
        <v>5</v>
      </c>
      <c r="M89" s="42" t="s">
        <v>620</v>
      </c>
      <c r="N89" s="61" t="s">
        <v>673</v>
      </c>
      <c r="O89" s="61" t="s">
        <v>677</v>
      </c>
      <c r="P89" s="37"/>
      <c r="Q89" s="37" t="s">
        <v>679</v>
      </c>
      <c r="R89" s="61"/>
    </row>
    <row r="90" spans="1:18" s="7" customFormat="1" ht="60">
      <c r="A90" s="48"/>
      <c r="B90" s="45"/>
      <c r="C90" s="38"/>
      <c r="D90" s="31" t="s">
        <v>25</v>
      </c>
      <c r="E90" s="31" t="s">
        <v>91</v>
      </c>
      <c r="F90" s="38"/>
      <c r="G90" s="34">
        <v>1</v>
      </c>
      <c r="H90" s="34">
        <v>1</v>
      </c>
      <c r="I90" s="34">
        <v>5</v>
      </c>
      <c r="J90" s="35">
        <f t="shared" si="21"/>
        <v>5</v>
      </c>
      <c r="K90" s="35">
        <v>1</v>
      </c>
      <c r="L90" s="34">
        <f t="shared" si="22"/>
        <v>5</v>
      </c>
      <c r="M90" s="42" t="s">
        <v>574</v>
      </c>
      <c r="N90" s="61" t="s">
        <v>673</v>
      </c>
      <c r="O90" s="61" t="s">
        <v>677</v>
      </c>
      <c r="P90" s="37"/>
      <c r="Q90" s="37" t="s">
        <v>679</v>
      </c>
      <c r="R90" s="61"/>
    </row>
    <row r="91" spans="1:18" s="7" customFormat="1" ht="60">
      <c r="A91" s="48"/>
      <c r="B91" s="45"/>
      <c r="C91" s="38"/>
      <c r="D91" s="31" t="s">
        <v>27</v>
      </c>
      <c r="E91" s="31" t="s">
        <v>80</v>
      </c>
      <c r="F91" s="38" t="str">
        <f t="shared" ref="F91:F96" si="23">IF($C91&lt;&gt;"",C91,"")</f>
        <v/>
      </c>
      <c r="G91" s="34">
        <v>1</v>
      </c>
      <c r="H91" s="34">
        <v>1</v>
      </c>
      <c r="I91" s="34">
        <v>5</v>
      </c>
      <c r="J91" s="35">
        <f t="shared" si="21"/>
        <v>5</v>
      </c>
      <c r="K91" s="35">
        <v>1</v>
      </c>
      <c r="L91" s="34">
        <f t="shared" si="22"/>
        <v>5</v>
      </c>
      <c r="M91" s="42" t="s">
        <v>602</v>
      </c>
      <c r="N91" s="61" t="s">
        <v>676</v>
      </c>
      <c r="O91" s="61" t="s">
        <v>678</v>
      </c>
      <c r="P91" s="37"/>
      <c r="Q91" s="37" t="s">
        <v>680</v>
      </c>
      <c r="R91" s="61"/>
    </row>
    <row r="92" spans="1:18" s="7" customFormat="1" ht="60">
      <c r="A92" s="48"/>
      <c r="B92" s="45"/>
      <c r="C92" s="38"/>
      <c r="D92" s="31" t="s">
        <v>32</v>
      </c>
      <c r="E92" s="31" t="s">
        <v>91</v>
      </c>
      <c r="F92" s="38" t="str">
        <f t="shared" si="23"/>
        <v/>
      </c>
      <c r="G92" s="34">
        <v>1</v>
      </c>
      <c r="H92" s="34">
        <v>1</v>
      </c>
      <c r="I92" s="34">
        <v>5</v>
      </c>
      <c r="J92" s="35">
        <f t="shared" si="21"/>
        <v>5</v>
      </c>
      <c r="K92" s="35">
        <v>1</v>
      </c>
      <c r="L92" s="34">
        <f t="shared" si="22"/>
        <v>5</v>
      </c>
      <c r="M92" s="42" t="s">
        <v>603</v>
      </c>
      <c r="N92" s="61" t="s">
        <v>676</v>
      </c>
      <c r="O92" s="61" t="s">
        <v>678</v>
      </c>
      <c r="P92" s="37"/>
      <c r="Q92" s="37" t="s">
        <v>680</v>
      </c>
      <c r="R92" s="61"/>
    </row>
    <row r="93" spans="1:18" s="7" customFormat="1" ht="45">
      <c r="A93" s="48"/>
      <c r="B93" s="45"/>
      <c r="C93" s="38"/>
      <c r="D93" s="31" t="s">
        <v>19</v>
      </c>
      <c r="E93" s="31" t="s">
        <v>70</v>
      </c>
      <c r="F93" s="38" t="str">
        <f t="shared" si="23"/>
        <v/>
      </c>
      <c r="G93" s="34">
        <v>1</v>
      </c>
      <c r="H93" s="34">
        <v>1</v>
      </c>
      <c r="I93" s="34">
        <v>5</v>
      </c>
      <c r="J93" s="35">
        <f t="shared" si="21"/>
        <v>5</v>
      </c>
      <c r="K93" s="35">
        <v>1</v>
      </c>
      <c r="L93" s="34">
        <f t="shared" si="22"/>
        <v>5</v>
      </c>
      <c r="M93" s="42" t="s">
        <v>610</v>
      </c>
      <c r="N93" s="61" t="s">
        <v>673</v>
      </c>
      <c r="O93" s="60" t="s">
        <v>685</v>
      </c>
      <c r="P93" s="37"/>
      <c r="Q93" s="37" t="s">
        <v>679</v>
      </c>
      <c r="R93" s="60"/>
    </row>
    <row r="94" spans="1:18" s="7" customFormat="1" ht="45">
      <c r="A94" s="48"/>
      <c r="B94" s="45"/>
      <c r="C94" s="38"/>
      <c r="D94" s="31" t="s">
        <v>36</v>
      </c>
      <c r="E94" s="31" t="s">
        <v>67</v>
      </c>
      <c r="F94" s="38" t="str">
        <f t="shared" si="23"/>
        <v/>
      </c>
      <c r="G94" s="34">
        <v>1</v>
      </c>
      <c r="H94" s="34">
        <v>1</v>
      </c>
      <c r="I94" s="34">
        <v>5</v>
      </c>
      <c r="J94" s="35">
        <f t="shared" si="21"/>
        <v>5</v>
      </c>
      <c r="K94" s="35">
        <v>1</v>
      </c>
      <c r="L94" s="41">
        <f t="shared" si="22"/>
        <v>5</v>
      </c>
      <c r="M94" s="42" t="s">
        <v>611</v>
      </c>
      <c r="N94" s="61" t="s">
        <v>673</v>
      </c>
      <c r="O94" s="61" t="s">
        <v>672</v>
      </c>
      <c r="P94" s="37"/>
      <c r="Q94" s="37" t="s">
        <v>679</v>
      </c>
      <c r="R94" s="60"/>
    </row>
    <row r="95" spans="1:18" s="7" customFormat="1" ht="60">
      <c r="A95" s="48"/>
      <c r="B95" s="45"/>
      <c r="C95" s="38"/>
      <c r="D95" s="31" t="s">
        <v>50</v>
      </c>
      <c r="E95" s="30" t="s">
        <v>72</v>
      </c>
      <c r="F95" s="38" t="str">
        <f t="shared" si="23"/>
        <v/>
      </c>
      <c r="G95" s="34">
        <v>1</v>
      </c>
      <c r="H95" s="34">
        <v>1</v>
      </c>
      <c r="I95" s="34">
        <v>5</v>
      </c>
      <c r="J95" s="35">
        <f t="shared" si="21"/>
        <v>5</v>
      </c>
      <c r="K95" s="35">
        <v>1</v>
      </c>
      <c r="L95" s="41">
        <f t="shared" si="22"/>
        <v>5</v>
      </c>
      <c r="M95" s="42" t="s">
        <v>612</v>
      </c>
      <c r="N95" s="61" t="s">
        <v>673</v>
      </c>
      <c r="O95" s="61" t="s">
        <v>683</v>
      </c>
      <c r="P95" s="37"/>
      <c r="Q95" s="37" t="s">
        <v>679</v>
      </c>
      <c r="R95" s="60"/>
    </row>
    <row r="96" spans="1:18" s="7" customFormat="1">
      <c r="A96" s="49"/>
      <c r="B96" s="46"/>
      <c r="C96" s="39"/>
      <c r="D96" s="31"/>
      <c r="E96" s="31"/>
      <c r="F96" s="39" t="str">
        <f t="shared" si="23"/>
        <v/>
      </c>
      <c r="G96" s="34"/>
      <c r="H96" s="34"/>
      <c r="I96" s="34"/>
      <c r="J96" s="35" t="str">
        <f t="shared" si="21"/>
        <v/>
      </c>
      <c r="K96" s="35"/>
      <c r="L96" s="41" t="str">
        <f t="shared" si="22"/>
        <v/>
      </c>
      <c r="M96" s="42"/>
      <c r="N96" s="60"/>
      <c r="O96" s="60"/>
      <c r="P96" s="37"/>
      <c r="Q96" s="37"/>
      <c r="R96" s="60"/>
    </row>
    <row r="97" spans="1:18" s="7" customFormat="1" ht="69.75" customHeight="1">
      <c r="A97" s="47">
        <v>9</v>
      </c>
      <c r="B97" s="44" t="s">
        <v>645</v>
      </c>
      <c r="C97" s="37" t="s">
        <v>434</v>
      </c>
      <c r="D97" s="31" t="s">
        <v>112</v>
      </c>
      <c r="E97" s="31" t="s">
        <v>600</v>
      </c>
      <c r="F97" s="37" t="s">
        <v>435</v>
      </c>
      <c r="G97" s="34">
        <v>5</v>
      </c>
      <c r="H97" s="34">
        <v>5</v>
      </c>
      <c r="I97" s="34">
        <v>5</v>
      </c>
      <c r="J97" s="35">
        <f>IF(MAX(G97:I97)=0,"",MAX(G97:I97))</f>
        <v>5</v>
      </c>
      <c r="K97" s="35">
        <v>1</v>
      </c>
      <c r="L97" s="34">
        <f>IFERROR(J97*K97,"")</f>
        <v>5</v>
      </c>
      <c r="M97" s="42" t="s">
        <v>571</v>
      </c>
      <c r="N97" s="61" t="s">
        <v>673</v>
      </c>
      <c r="O97" s="61" t="s">
        <v>685</v>
      </c>
      <c r="P97" s="37"/>
      <c r="Q97" s="37" t="s">
        <v>679</v>
      </c>
      <c r="R97" s="61"/>
    </row>
    <row r="98" spans="1:18" s="7" customFormat="1" ht="75">
      <c r="A98" s="48"/>
      <c r="B98" s="45"/>
      <c r="C98" s="38"/>
      <c r="D98" s="31" t="s">
        <v>36</v>
      </c>
      <c r="E98" s="31" t="s">
        <v>67</v>
      </c>
      <c r="F98" s="38" t="str">
        <f>IF($C98&lt;&gt;"",C98,"")</f>
        <v/>
      </c>
      <c r="G98" s="34">
        <v>1</v>
      </c>
      <c r="H98" s="34">
        <v>1</v>
      </c>
      <c r="I98" s="34">
        <v>5</v>
      </c>
      <c r="J98" s="35">
        <f t="shared" ref="J98:J108" si="24">IF(MAX(G98:I98)=0,"",MAX(G98:I98))</f>
        <v>5</v>
      </c>
      <c r="K98" s="35">
        <v>1</v>
      </c>
      <c r="L98" s="34">
        <f t="shared" ref="L98:L108" si="25">IFERROR(J98*K98,"")</f>
        <v>5</v>
      </c>
      <c r="M98" s="42" t="s">
        <v>618</v>
      </c>
      <c r="N98" s="61" t="s">
        <v>673</v>
      </c>
      <c r="O98" s="61" t="s">
        <v>672</v>
      </c>
      <c r="P98" s="37"/>
      <c r="Q98" s="37" t="s">
        <v>679</v>
      </c>
      <c r="R98" s="61"/>
    </row>
    <row r="99" spans="1:18" s="7" customFormat="1" ht="60">
      <c r="A99" s="48"/>
      <c r="B99" s="45"/>
      <c r="C99" s="38"/>
      <c r="D99" s="31" t="s">
        <v>25</v>
      </c>
      <c r="E99" s="31" t="s">
        <v>69</v>
      </c>
      <c r="F99" s="38" t="str">
        <f>IF($C99&lt;&gt;"",C99,"")</f>
        <v/>
      </c>
      <c r="G99" s="34">
        <v>1</v>
      </c>
      <c r="H99" s="34">
        <v>1</v>
      </c>
      <c r="I99" s="34">
        <v>5</v>
      </c>
      <c r="J99" s="35">
        <f t="shared" si="24"/>
        <v>5</v>
      </c>
      <c r="K99" s="35">
        <v>1</v>
      </c>
      <c r="L99" s="34">
        <f t="shared" si="25"/>
        <v>5</v>
      </c>
      <c r="M99" s="42" t="s">
        <v>607</v>
      </c>
      <c r="N99" s="61" t="s">
        <v>673</v>
      </c>
      <c r="O99" s="61" t="s">
        <v>677</v>
      </c>
      <c r="P99" s="37"/>
      <c r="Q99" s="37" t="s">
        <v>679</v>
      </c>
      <c r="R99" s="61"/>
    </row>
    <row r="100" spans="1:18" s="7" customFormat="1" ht="60">
      <c r="A100" s="48"/>
      <c r="B100" s="45"/>
      <c r="C100" s="38"/>
      <c r="D100" s="31" t="s">
        <v>25</v>
      </c>
      <c r="E100" s="31" t="s">
        <v>81</v>
      </c>
      <c r="F100" s="38"/>
      <c r="G100" s="34">
        <v>1</v>
      </c>
      <c r="H100" s="34">
        <v>1</v>
      </c>
      <c r="I100" s="34">
        <v>5</v>
      </c>
      <c r="J100" s="35">
        <f t="shared" si="24"/>
        <v>5</v>
      </c>
      <c r="K100" s="35">
        <v>1</v>
      </c>
      <c r="L100" s="34">
        <f t="shared" si="25"/>
        <v>5</v>
      </c>
      <c r="M100" s="42" t="s">
        <v>619</v>
      </c>
      <c r="N100" s="61" t="s">
        <v>673</v>
      </c>
      <c r="O100" s="61" t="s">
        <v>677</v>
      </c>
      <c r="P100" s="37"/>
      <c r="Q100" s="37" t="s">
        <v>679</v>
      </c>
      <c r="R100" s="61"/>
    </row>
    <row r="101" spans="1:18" s="7" customFormat="1" ht="60">
      <c r="A101" s="48"/>
      <c r="B101" s="45"/>
      <c r="C101" s="38"/>
      <c r="D101" s="31" t="s">
        <v>25</v>
      </c>
      <c r="E101" s="31" t="s">
        <v>90</v>
      </c>
      <c r="F101" s="38"/>
      <c r="G101" s="34">
        <v>1</v>
      </c>
      <c r="H101" s="34">
        <v>1</v>
      </c>
      <c r="I101" s="34">
        <v>5</v>
      </c>
      <c r="J101" s="35">
        <f t="shared" si="24"/>
        <v>5</v>
      </c>
      <c r="K101" s="35">
        <v>1</v>
      </c>
      <c r="L101" s="34">
        <f t="shared" si="25"/>
        <v>5</v>
      </c>
      <c r="M101" s="42" t="s">
        <v>620</v>
      </c>
      <c r="N101" s="61" t="s">
        <v>673</v>
      </c>
      <c r="O101" s="61" t="s">
        <v>677</v>
      </c>
      <c r="P101" s="37"/>
      <c r="Q101" s="37" t="s">
        <v>679</v>
      </c>
      <c r="R101" s="61"/>
    </row>
    <row r="102" spans="1:18" s="7" customFormat="1" ht="60">
      <c r="A102" s="48"/>
      <c r="B102" s="45"/>
      <c r="C102" s="38"/>
      <c r="D102" s="31" t="s">
        <v>25</v>
      </c>
      <c r="E102" s="31" t="s">
        <v>91</v>
      </c>
      <c r="F102" s="38"/>
      <c r="G102" s="34">
        <v>1</v>
      </c>
      <c r="H102" s="34">
        <v>1</v>
      </c>
      <c r="I102" s="34">
        <v>5</v>
      </c>
      <c r="J102" s="35">
        <f t="shared" si="24"/>
        <v>5</v>
      </c>
      <c r="K102" s="35">
        <v>1</v>
      </c>
      <c r="L102" s="34">
        <f t="shared" si="25"/>
        <v>5</v>
      </c>
      <c r="M102" s="42" t="s">
        <v>574</v>
      </c>
      <c r="N102" s="61" t="s">
        <v>673</v>
      </c>
      <c r="O102" s="61" t="s">
        <v>677</v>
      </c>
      <c r="P102" s="37"/>
      <c r="Q102" s="37" t="s">
        <v>679</v>
      </c>
      <c r="R102" s="61"/>
    </row>
    <row r="103" spans="1:18" s="7" customFormat="1" ht="60">
      <c r="A103" s="48"/>
      <c r="B103" s="45"/>
      <c r="C103" s="38"/>
      <c r="D103" s="31" t="s">
        <v>27</v>
      </c>
      <c r="E103" s="31" t="s">
        <v>80</v>
      </c>
      <c r="F103" s="38" t="str">
        <f t="shared" ref="F103:F108" si="26">IF($C103&lt;&gt;"",C103,"")</f>
        <v/>
      </c>
      <c r="G103" s="34">
        <v>1</v>
      </c>
      <c r="H103" s="34">
        <v>1</v>
      </c>
      <c r="I103" s="34">
        <v>5</v>
      </c>
      <c r="J103" s="35">
        <f t="shared" si="24"/>
        <v>5</v>
      </c>
      <c r="K103" s="35">
        <v>1</v>
      </c>
      <c r="L103" s="34">
        <f t="shared" si="25"/>
        <v>5</v>
      </c>
      <c r="M103" s="42" t="s">
        <v>602</v>
      </c>
      <c r="N103" s="61" t="s">
        <v>676</v>
      </c>
      <c r="O103" s="61" t="s">
        <v>678</v>
      </c>
      <c r="P103" s="37"/>
      <c r="Q103" s="37" t="s">
        <v>680</v>
      </c>
      <c r="R103" s="61"/>
    </row>
    <row r="104" spans="1:18" s="7" customFormat="1" ht="60">
      <c r="A104" s="48"/>
      <c r="B104" s="45"/>
      <c r="C104" s="38"/>
      <c r="D104" s="31" t="s">
        <v>32</v>
      </c>
      <c r="E104" s="31" t="s">
        <v>91</v>
      </c>
      <c r="F104" s="38" t="str">
        <f t="shared" si="26"/>
        <v/>
      </c>
      <c r="G104" s="34">
        <v>1</v>
      </c>
      <c r="H104" s="34">
        <v>1</v>
      </c>
      <c r="I104" s="34">
        <v>5</v>
      </c>
      <c r="J104" s="35">
        <f t="shared" si="24"/>
        <v>5</v>
      </c>
      <c r="K104" s="35">
        <v>1</v>
      </c>
      <c r="L104" s="34">
        <f t="shared" si="25"/>
        <v>5</v>
      </c>
      <c r="M104" s="42" t="s">
        <v>603</v>
      </c>
      <c r="N104" s="61" t="s">
        <v>676</v>
      </c>
      <c r="O104" s="61" t="s">
        <v>678</v>
      </c>
      <c r="P104" s="37"/>
      <c r="Q104" s="37" t="s">
        <v>680</v>
      </c>
      <c r="R104" s="61"/>
    </row>
    <row r="105" spans="1:18" s="7" customFormat="1" ht="45">
      <c r="A105" s="48"/>
      <c r="B105" s="45"/>
      <c r="C105" s="38"/>
      <c r="D105" s="31" t="s">
        <v>19</v>
      </c>
      <c r="E105" s="31" t="s">
        <v>70</v>
      </c>
      <c r="F105" s="38" t="str">
        <f t="shared" si="26"/>
        <v/>
      </c>
      <c r="G105" s="34">
        <v>1</v>
      </c>
      <c r="H105" s="34">
        <v>1</v>
      </c>
      <c r="I105" s="34">
        <v>5</v>
      </c>
      <c r="J105" s="35">
        <f t="shared" si="24"/>
        <v>5</v>
      </c>
      <c r="K105" s="35">
        <v>1</v>
      </c>
      <c r="L105" s="34">
        <f t="shared" si="25"/>
        <v>5</v>
      </c>
      <c r="M105" s="42" t="s">
        <v>610</v>
      </c>
      <c r="N105" s="61" t="s">
        <v>673</v>
      </c>
      <c r="O105" s="61" t="s">
        <v>685</v>
      </c>
      <c r="P105" s="37"/>
      <c r="Q105" s="37" t="s">
        <v>679</v>
      </c>
      <c r="R105" s="61"/>
    </row>
    <row r="106" spans="1:18" s="7" customFormat="1" ht="75">
      <c r="A106" s="48"/>
      <c r="B106" s="45"/>
      <c r="C106" s="38"/>
      <c r="D106" s="31" t="s">
        <v>492</v>
      </c>
      <c r="E106" s="32" t="s">
        <v>73</v>
      </c>
      <c r="F106" s="38" t="str">
        <f t="shared" si="26"/>
        <v/>
      </c>
      <c r="G106" s="34">
        <v>1</v>
      </c>
      <c r="H106" s="34">
        <v>1</v>
      </c>
      <c r="I106" s="34">
        <v>5</v>
      </c>
      <c r="J106" s="35">
        <f t="shared" si="24"/>
        <v>5</v>
      </c>
      <c r="K106" s="35">
        <v>1</v>
      </c>
      <c r="L106" s="41">
        <f t="shared" si="25"/>
        <v>5</v>
      </c>
      <c r="M106" s="42" t="s">
        <v>622</v>
      </c>
      <c r="N106" s="61" t="s">
        <v>673</v>
      </c>
      <c r="O106" s="61" t="s">
        <v>685</v>
      </c>
      <c r="P106" s="37"/>
      <c r="Q106" s="37" t="s">
        <v>679</v>
      </c>
      <c r="R106" s="61"/>
    </row>
    <row r="107" spans="1:18" s="7" customFormat="1" ht="60">
      <c r="A107" s="48"/>
      <c r="B107" s="45"/>
      <c r="C107" s="38"/>
      <c r="D107" s="31" t="s">
        <v>50</v>
      </c>
      <c r="E107" s="40" t="s">
        <v>72</v>
      </c>
      <c r="F107" s="38" t="str">
        <f t="shared" si="26"/>
        <v/>
      </c>
      <c r="G107" s="34">
        <v>1</v>
      </c>
      <c r="H107" s="34">
        <v>1</v>
      </c>
      <c r="I107" s="34">
        <v>5</v>
      </c>
      <c r="J107" s="35">
        <f t="shared" si="24"/>
        <v>5</v>
      </c>
      <c r="K107" s="35">
        <v>1</v>
      </c>
      <c r="L107" s="41">
        <f t="shared" si="25"/>
        <v>5</v>
      </c>
      <c r="M107" s="42" t="s">
        <v>612</v>
      </c>
      <c r="N107" s="61" t="s">
        <v>673</v>
      </c>
      <c r="O107" s="61" t="s">
        <v>683</v>
      </c>
      <c r="P107" s="37"/>
      <c r="Q107" s="37" t="s">
        <v>679</v>
      </c>
      <c r="R107" s="60"/>
    </row>
    <row r="108" spans="1:18" s="7" customFormat="1">
      <c r="A108" s="49"/>
      <c r="B108" s="46"/>
      <c r="C108" s="39"/>
      <c r="D108" s="31"/>
      <c r="E108" s="31"/>
      <c r="F108" s="39" t="str">
        <f t="shared" si="26"/>
        <v/>
      </c>
      <c r="G108" s="34"/>
      <c r="H108" s="34"/>
      <c r="I108" s="34"/>
      <c r="J108" s="35" t="str">
        <f t="shared" si="24"/>
        <v/>
      </c>
      <c r="K108" s="35"/>
      <c r="L108" s="41" t="str">
        <f t="shared" si="25"/>
        <v/>
      </c>
      <c r="M108" s="42"/>
      <c r="N108" s="60"/>
      <c r="O108" s="60"/>
      <c r="P108" s="37"/>
      <c r="Q108" s="37"/>
      <c r="R108" s="60"/>
    </row>
    <row r="109" spans="1:18" s="7" customFormat="1" ht="69.75" customHeight="1">
      <c r="A109" s="47">
        <v>10</v>
      </c>
      <c r="B109" s="44" t="s">
        <v>627</v>
      </c>
      <c r="C109" s="37" t="s">
        <v>434</v>
      </c>
      <c r="D109" s="31" t="s">
        <v>112</v>
      </c>
      <c r="E109" s="31" t="s">
        <v>600</v>
      </c>
      <c r="F109" s="37" t="s">
        <v>435</v>
      </c>
      <c r="G109" s="34">
        <v>1</v>
      </c>
      <c r="H109" s="34">
        <v>5</v>
      </c>
      <c r="I109" s="34">
        <v>5</v>
      </c>
      <c r="J109" s="35">
        <f>IF(MAX(G109:I109)=0,"",MAX(G109:I109))</f>
        <v>5</v>
      </c>
      <c r="K109" s="35">
        <v>1</v>
      </c>
      <c r="L109" s="34">
        <f>IFERROR(J109*K109,"")</f>
        <v>5</v>
      </c>
      <c r="M109" s="42" t="s">
        <v>571</v>
      </c>
      <c r="N109" s="61" t="s">
        <v>673</v>
      </c>
      <c r="O109" s="61" t="s">
        <v>685</v>
      </c>
      <c r="P109" s="37"/>
      <c r="Q109" s="37" t="s">
        <v>679</v>
      </c>
      <c r="R109" s="60"/>
    </row>
    <row r="110" spans="1:18" s="7" customFormat="1" ht="75">
      <c r="A110" s="48"/>
      <c r="B110" s="45"/>
      <c r="C110" s="38"/>
      <c r="D110" s="31" t="s">
        <v>36</v>
      </c>
      <c r="E110" s="31" t="s">
        <v>67</v>
      </c>
      <c r="F110" s="38" t="str">
        <f>IF($C110&lt;&gt;"",C110,"")</f>
        <v/>
      </c>
      <c r="G110" s="34">
        <v>1</v>
      </c>
      <c r="H110" s="34">
        <v>1</v>
      </c>
      <c r="I110" s="34">
        <v>5</v>
      </c>
      <c r="J110" s="35">
        <f t="shared" ref="J110:J120" si="27">IF(MAX(G110:I110)=0,"",MAX(G110:I110))</f>
        <v>5</v>
      </c>
      <c r="K110" s="35">
        <v>1</v>
      </c>
      <c r="L110" s="34">
        <f t="shared" ref="L110:L120" si="28">IFERROR(J110*K110,"")</f>
        <v>5</v>
      </c>
      <c r="M110" s="42" t="s">
        <v>618</v>
      </c>
      <c r="N110" s="61" t="s">
        <v>673</v>
      </c>
      <c r="O110" s="61" t="s">
        <v>672</v>
      </c>
      <c r="P110" s="37"/>
      <c r="Q110" s="37" t="s">
        <v>679</v>
      </c>
      <c r="R110" s="60"/>
    </row>
    <row r="111" spans="1:18" s="7" customFormat="1" ht="60">
      <c r="A111" s="48"/>
      <c r="B111" s="45"/>
      <c r="C111" s="38"/>
      <c r="D111" s="31" t="s">
        <v>25</v>
      </c>
      <c r="E111" s="31" t="s">
        <v>69</v>
      </c>
      <c r="F111" s="38" t="str">
        <f>IF($C111&lt;&gt;"",C111,"")</f>
        <v/>
      </c>
      <c r="G111" s="34">
        <v>1</v>
      </c>
      <c r="H111" s="34">
        <v>1</v>
      </c>
      <c r="I111" s="34">
        <v>5</v>
      </c>
      <c r="J111" s="35">
        <f t="shared" si="27"/>
        <v>5</v>
      </c>
      <c r="K111" s="35">
        <v>1</v>
      </c>
      <c r="L111" s="34">
        <f t="shared" si="28"/>
        <v>5</v>
      </c>
      <c r="M111" s="42" t="s">
        <v>607</v>
      </c>
      <c r="N111" s="61" t="s">
        <v>673</v>
      </c>
      <c r="O111" s="61" t="s">
        <v>677</v>
      </c>
      <c r="P111" s="37"/>
      <c r="Q111" s="37" t="s">
        <v>679</v>
      </c>
      <c r="R111" s="60"/>
    </row>
    <row r="112" spans="1:18" s="7" customFormat="1" ht="60">
      <c r="A112" s="48"/>
      <c r="B112" s="45"/>
      <c r="C112" s="38"/>
      <c r="D112" s="31" t="s">
        <v>25</v>
      </c>
      <c r="E112" s="31" t="s">
        <v>81</v>
      </c>
      <c r="F112" s="38"/>
      <c r="G112" s="34">
        <v>1</v>
      </c>
      <c r="H112" s="34">
        <v>1</v>
      </c>
      <c r="I112" s="34">
        <v>5</v>
      </c>
      <c r="J112" s="35">
        <f t="shared" si="27"/>
        <v>5</v>
      </c>
      <c r="K112" s="35">
        <v>1</v>
      </c>
      <c r="L112" s="34">
        <f t="shared" si="28"/>
        <v>5</v>
      </c>
      <c r="M112" s="42" t="s">
        <v>619</v>
      </c>
      <c r="N112" s="61" t="s">
        <v>673</v>
      </c>
      <c r="O112" s="61" t="s">
        <v>677</v>
      </c>
      <c r="P112" s="37"/>
      <c r="Q112" s="37" t="s">
        <v>679</v>
      </c>
      <c r="R112" s="60"/>
    </row>
    <row r="113" spans="1:18" s="7" customFormat="1" ht="60">
      <c r="A113" s="48"/>
      <c r="B113" s="45"/>
      <c r="C113" s="38"/>
      <c r="D113" s="31" t="s">
        <v>25</v>
      </c>
      <c r="E113" s="31" t="s">
        <v>90</v>
      </c>
      <c r="F113" s="38"/>
      <c r="G113" s="34">
        <v>1</v>
      </c>
      <c r="H113" s="34">
        <v>1</v>
      </c>
      <c r="I113" s="34">
        <v>5</v>
      </c>
      <c r="J113" s="35">
        <f t="shared" si="27"/>
        <v>5</v>
      </c>
      <c r="K113" s="35">
        <v>1</v>
      </c>
      <c r="L113" s="34">
        <f t="shared" si="28"/>
        <v>5</v>
      </c>
      <c r="M113" s="42" t="s">
        <v>620</v>
      </c>
      <c r="N113" s="61" t="s">
        <v>673</v>
      </c>
      <c r="O113" s="61" t="s">
        <v>677</v>
      </c>
      <c r="P113" s="37"/>
      <c r="Q113" s="37" t="s">
        <v>679</v>
      </c>
      <c r="R113" s="60"/>
    </row>
    <row r="114" spans="1:18" s="7" customFormat="1" ht="60">
      <c r="A114" s="48"/>
      <c r="B114" s="45"/>
      <c r="C114" s="38"/>
      <c r="D114" s="31" t="s">
        <v>25</v>
      </c>
      <c r="E114" s="31" t="s">
        <v>91</v>
      </c>
      <c r="F114" s="38"/>
      <c r="G114" s="34">
        <v>1</v>
      </c>
      <c r="H114" s="34">
        <v>1</v>
      </c>
      <c r="I114" s="34">
        <v>5</v>
      </c>
      <c r="J114" s="35">
        <f t="shared" si="27"/>
        <v>5</v>
      </c>
      <c r="K114" s="35">
        <v>1</v>
      </c>
      <c r="L114" s="34">
        <f t="shared" si="28"/>
        <v>5</v>
      </c>
      <c r="M114" s="42" t="s">
        <v>574</v>
      </c>
      <c r="N114" s="61" t="s">
        <v>673</v>
      </c>
      <c r="O114" s="61" t="s">
        <v>677</v>
      </c>
      <c r="P114" s="37"/>
      <c r="Q114" s="37" t="s">
        <v>679</v>
      </c>
      <c r="R114" s="60"/>
    </row>
    <row r="115" spans="1:18" s="7" customFormat="1" ht="60">
      <c r="A115" s="48"/>
      <c r="B115" s="45"/>
      <c r="C115" s="38"/>
      <c r="D115" s="31" t="s">
        <v>27</v>
      </c>
      <c r="E115" s="31" t="s">
        <v>80</v>
      </c>
      <c r="F115" s="38" t="str">
        <f t="shared" ref="F115:F120" si="29">IF($C115&lt;&gt;"",C115,"")</f>
        <v/>
      </c>
      <c r="G115" s="34">
        <v>1</v>
      </c>
      <c r="H115" s="34">
        <v>1</v>
      </c>
      <c r="I115" s="34">
        <v>5</v>
      </c>
      <c r="J115" s="35">
        <f t="shared" si="27"/>
        <v>5</v>
      </c>
      <c r="K115" s="35">
        <v>1</v>
      </c>
      <c r="L115" s="34">
        <f t="shared" si="28"/>
        <v>5</v>
      </c>
      <c r="M115" s="42" t="s">
        <v>602</v>
      </c>
      <c r="N115" s="61" t="s">
        <v>676</v>
      </c>
      <c r="O115" s="61" t="s">
        <v>678</v>
      </c>
      <c r="P115" s="37"/>
      <c r="Q115" s="37" t="s">
        <v>680</v>
      </c>
      <c r="R115" s="60"/>
    </row>
    <row r="116" spans="1:18" s="7" customFormat="1" ht="60">
      <c r="A116" s="48"/>
      <c r="B116" s="45"/>
      <c r="C116" s="38"/>
      <c r="D116" s="31" t="s">
        <v>32</v>
      </c>
      <c r="E116" s="31" t="s">
        <v>91</v>
      </c>
      <c r="F116" s="38" t="str">
        <f t="shared" si="29"/>
        <v/>
      </c>
      <c r="G116" s="34">
        <v>1</v>
      </c>
      <c r="H116" s="34">
        <v>1</v>
      </c>
      <c r="I116" s="34">
        <v>5</v>
      </c>
      <c r="J116" s="35">
        <f t="shared" si="27"/>
        <v>5</v>
      </c>
      <c r="K116" s="35">
        <v>1</v>
      </c>
      <c r="L116" s="34">
        <f t="shared" si="28"/>
        <v>5</v>
      </c>
      <c r="M116" s="42" t="s">
        <v>603</v>
      </c>
      <c r="N116" s="61" t="s">
        <v>676</v>
      </c>
      <c r="O116" s="61" t="s">
        <v>678</v>
      </c>
      <c r="P116" s="37"/>
      <c r="Q116" s="37" t="s">
        <v>680</v>
      </c>
      <c r="R116" s="60"/>
    </row>
    <row r="117" spans="1:18" s="7" customFormat="1" ht="45">
      <c r="A117" s="48"/>
      <c r="B117" s="45"/>
      <c r="C117" s="38"/>
      <c r="D117" s="31" t="s">
        <v>19</v>
      </c>
      <c r="E117" s="31" t="s">
        <v>70</v>
      </c>
      <c r="F117" s="38" t="str">
        <f t="shared" si="29"/>
        <v/>
      </c>
      <c r="G117" s="34">
        <v>1</v>
      </c>
      <c r="H117" s="34">
        <v>1</v>
      </c>
      <c r="I117" s="34">
        <v>5</v>
      </c>
      <c r="J117" s="35">
        <f t="shared" si="27"/>
        <v>5</v>
      </c>
      <c r="K117" s="35">
        <v>1</v>
      </c>
      <c r="L117" s="34">
        <f t="shared" si="28"/>
        <v>5</v>
      </c>
      <c r="M117" s="42" t="s">
        <v>610</v>
      </c>
      <c r="N117" s="61" t="s">
        <v>673</v>
      </c>
      <c r="O117" s="61" t="s">
        <v>685</v>
      </c>
      <c r="P117" s="37"/>
      <c r="Q117" s="37" t="s">
        <v>679</v>
      </c>
      <c r="R117" s="60"/>
    </row>
    <row r="118" spans="1:18" s="7" customFormat="1" ht="60">
      <c r="A118" s="48"/>
      <c r="B118" s="45"/>
      <c r="C118" s="38"/>
      <c r="D118" s="31" t="s">
        <v>10</v>
      </c>
      <c r="E118" s="31" t="s">
        <v>67</v>
      </c>
      <c r="F118" s="38" t="str">
        <f t="shared" si="29"/>
        <v/>
      </c>
      <c r="G118" s="34">
        <v>1</v>
      </c>
      <c r="H118" s="34">
        <v>1</v>
      </c>
      <c r="I118" s="34">
        <v>5</v>
      </c>
      <c r="J118" s="35">
        <f t="shared" si="27"/>
        <v>5</v>
      </c>
      <c r="K118" s="35">
        <v>1</v>
      </c>
      <c r="L118" s="41">
        <f t="shared" si="28"/>
        <v>5</v>
      </c>
      <c r="M118" s="42" t="s">
        <v>621</v>
      </c>
      <c r="N118" s="61" t="s">
        <v>673</v>
      </c>
      <c r="O118" s="61" t="s">
        <v>685</v>
      </c>
      <c r="P118" s="37"/>
      <c r="Q118" s="37" t="s">
        <v>679</v>
      </c>
      <c r="R118" s="60"/>
    </row>
    <row r="119" spans="1:18" s="7" customFormat="1" ht="60">
      <c r="A119" s="48"/>
      <c r="B119" s="45"/>
      <c r="C119" s="38"/>
      <c r="D119" s="31" t="s">
        <v>50</v>
      </c>
      <c r="E119" s="30" t="s">
        <v>72</v>
      </c>
      <c r="F119" s="38" t="str">
        <f t="shared" si="29"/>
        <v/>
      </c>
      <c r="G119" s="34">
        <v>1</v>
      </c>
      <c r="H119" s="34">
        <v>1</v>
      </c>
      <c r="I119" s="34">
        <v>5</v>
      </c>
      <c r="J119" s="35">
        <f t="shared" si="27"/>
        <v>5</v>
      </c>
      <c r="K119" s="35">
        <v>1</v>
      </c>
      <c r="L119" s="41">
        <f t="shared" si="28"/>
        <v>5</v>
      </c>
      <c r="M119" s="42" t="s">
        <v>612</v>
      </c>
      <c r="N119" s="61" t="s">
        <v>673</v>
      </c>
      <c r="O119" s="61" t="s">
        <v>683</v>
      </c>
      <c r="P119" s="37"/>
      <c r="Q119" s="37" t="s">
        <v>679</v>
      </c>
      <c r="R119" s="60"/>
    </row>
    <row r="120" spans="1:18" s="7" customFormat="1">
      <c r="A120" s="49"/>
      <c r="B120" s="46"/>
      <c r="C120" s="39"/>
      <c r="D120" s="31"/>
      <c r="E120" s="31"/>
      <c r="F120" s="39" t="str">
        <f t="shared" si="29"/>
        <v/>
      </c>
      <c r="G120" s="34"/>
      <c r="H120" s="34"/>
      <c r="I120" s="34"/>
      <c r="J120" s="35" t="str">
        <f t="shared" si="27"/>
        <v/>
      </c>
      <c r="K120" s="35"/>
      <c r="L120" s="41" t="str">
        <f t="shared" si="28"/>
        <v/>
      </c>
      <c r="M120" s="42"/>
      <c r="N120" s="60"/>
      <c r="O120" s="60"/>
      <c r="P120" s="37"/>
      <c r="Q120" s="37"/>
      <c r="R120" s="60"/>
    </row>
    <row r="121" spans="1:18" s="7" customFormat="1" ht="69.75" customHeight="1">
      <c r="A121" s="47">
        <v>11</v>
      </c>
      <c r="B121" s="44" t="s">
        <v>644</v>
      </c>
      <c r="C121" s="37" t="s">
        <v>434</v>
      </c>
      <c r="D121" s="31" t="s">
        <v>112</v>
      </c>
      <c r="E121" s="31" t="s">
        <v>649</v>
      </c>
      <c r="F121" s="37" t="s">
        <v>435</v>
      </c>
      <c r="G121" s="34">
        <v>5</v>
      </c>
      <c r="H121" s="34">
        <v>5</v>
      </c>
      <c r="I121" s="34">
        <v>5</v>
      </c>
      <c r="J121" s="35">
        <f>IF(MAX(G121:I121)=0,"",MAX(G121:I121))</f>
        <v>5</v>
      </c>
      <c r="K121" s="35">
        <v>1</v>
      </c>
      <c r="L121" s="34">
        <f>IFERROR(J121*K121,"")</f>
        <v>5</v>
      </c>
      <c r="M121" s="42" t="s">
        <v>571</v>
      </c>
      <c r="N121" s="61" t="s">
        <v>673</v>
      </c>
      <c r="O121" s="61" t="s">
        <v>685</v>
      </c>
      <c r="P121" s="37"/>
      <c r="Q121" s="37" t="s">
        <v>679</v>
      </c>
      <c r="R121" s="60"/>
    </row>
    <row r="122" spans="1:18" s="7" customFormat="1" ht="75">
      <c r="A122" s="48"/>
      <c r="B122" s="45"/>
      <c r="C122" s="38"/>
      <c r="D122" s="31" t="s">
        <v>36</v>
      </c>
      <c r="E122" s="31" t="s">
        <v>67</v>
      </c>
      <c r="F122" s="38" t="str">
        <f>IF($C122&lt;&gt;"",C122,"")</f>
        <v/>
      </c>
      <c r="G122" s="34">
        <v>1</v>
      </c>
      <c r="H122" s="34">
        <v>1</v>
      </c>
      <c r="I122" s="34">
        <v>5</v>
      </c>
      <c r="J122" s="35">
        <f t="shared" ref="J122:J132" si="30">IF(MAX(G122:I122)=0,"",MAX(G122:I122))</f>
        <v>5</v>
      </c>
      <c r="K122" s="35">
        <v>1</v>
      </c>
      <c r="L122" s="34">
        <f t="shared" ref="L122:L132" si="31">IFERROR(J122*K122,"")</f>
        <v>5</v>
      </c>
      <c r="M122" s="42" t="s">
        <v>618</v>
      </c>
      <c r="N122" s="61" t="s">
        <v>673</v>
      </c>
      <c r="O122" s="61" t="s">
        <v>672</v>
      </c>
      <c r="P122" s="37"/>
      <c r="Q122" s="37" t="s">
        <v>679</v>
      </c>
      <c r="R122" s="60"/>
    </row>
    <row r="123" spans="1:18" s="7" customFormat="1" ht="60">
      <c r="A123" s="48"/>
      <c r="B123" s="45"/>
      <c r="C123" s="38"/>
      <c r="D123" s="31" t="s">
        <v>25</v>
      </c>
      <c r="E123" s="31" t="s">
        <v>69</v>
      </c>
      <c r="F123" s="38" t="str">
        <f>IF($C123&lt;&gt;"",C123,"")</f>
        <v/>
      </c>
      <c r="G123" s="34">
        <v>1</v>
      </c>
      <c r="H123" s="34">
        <v>1</v>
      </c>
      <c r="I123" s="34">
        <v>5</v>
      </c>
      <c r="J123" s="35">
        <f t="shared" si="30"/>
        <v>5</v>
      </c>
      <c r="K123" s="35">
        <v>1</v>
      </c>
      <c r="L123" s="34">
        <f t="shared" si="31"/>
        <v>5</v>
      </c>
      <c r="M123" s="42" t="s">
        <v>607</v>
      </c>
      <c r="N123" s="61" t="s">
        <v>673</v>
      </c>
      <c r="O123" s="61" t="s">
        <v>677</v>
      </c>
      <c r="P123" s="37"/>
      <c r="Q123" s="37" t="s">
        <v>679</v>
      </c>
      <c r="R123" s="60"/>
    </row>
    <row r="124" spans="1:18" s="7" customFormat="1" ht="60">
      <c r="A124" s="48"/>
      <c r="B124" s="45"/>
      <c r="C124" s="38"/>
      <c r="D124" s="31" t="s">
        <v>25</v>
      </c>
      <c r="E124" s="31" t="s">
        <v>81</v>
      </c>
      <c r="F124" s="38"/>
      <c r="G124" s="34">
        <v>1</v>
      </c>
      <c r="H124" s="34">
        <v>1</v>
      </c>
      <c r="I124" s="34">
        <v>5</v>
      </c>
      <c r="J124" s="35">
        <f t="shared" si="30"/>
        <v>5</v>
      </c>
      <c r="K124" s="35">
        <v>1</v>
      </c>
      <c r="L124" s="34">
        <f t="shared" si="31"/>
        <v>5</v>
      </c>
      <c r="M124" s="42" t="s">
        <v>619</v>
      </c>
      <c r="N124" s="61" t="s">
        <v>673</v>
      </c>
      <c r="O124" s="61" t="s">
        <v>677</v>
      </c>
      <c r="P124" s="37"/>
      <c r="Q124" s="37" t="s">
        <v>679</v>
      </c>
      <c r="R124" s="60"/>
    </row>
    <row r="125" spans="1:18" s="7" customFormat="1" ht="60">
      <c r="A125" s="48"/>
      <c r="B125" s="45"/>
      <c r="C125" s="38"/>
      <c r="D125" s="31" t="s">
        <v>25</v>
      </c>
      <c r="E125" s="31" t="s">
        <v>90</v>
      </c>
      <c r="F125" s="38"/>
      <c r="G125" s="34">
        <v>1</v>
      </c>
      <c r="H125" s="34">
        <v>1</v>
      </c>
      <c r="I125" s="34">
        <v>5</v>
      </c>
      <c r="J125" s="35">
        <f t="shared" si="30"/>
        <v>5</v>
      </c>
      <c r="K125" s="35">
        <v>1</v>
      </c>
      <c r="L125" s="34">
        <f t="shared" si="31"/>
        <v>5</v>
      </c>
      <c r="M125" s="42" t="s">
        <v>620</v>
      </c>
      <c r="N125" s="61" t="s">
        <v>673</v>
      </c>
      <c r="O125" s="61" t="s">
        <v>677</v>
      </c>
      <c r="P125" s="37"/>
      <c r="Q125" s="37" t="s">
        <v>679</v>
      </c>
      <c r="R125" s="60"/>
    </row>
    <row r="126" spans="1:18" s="7" customFormat="1" ht="60">
      <c r="A126" s="48"/>
      <c r="B126" s="45"/>
      <c r="C126" s="38"/>
      <c r="D126" s="31" t="s">
        <v>25</v>
      </c>
      <c r="E126" s="31" t="s">
        <v>91</v>
      </c>
      <c r="F126" s="38"/>
      <c r="G126" s="34">
        <v>1</v>
      </c>
      <c r="H126" s="34">
        <v>1</v>
      </c>
      <c r="I126" s="34">
        <v>5</v>
      </c>
      <c r="J126" s="35">
        <f t="shared" si="30"/>
        <v>5</v>
      </c>
      <c r="K126" s="35">
        <v>1</v>
      </c>
      <c r="L126" s="34">
        <f t="shared" si="31"/>
        <v>5</v>
      </c>
      <c r="M126" s="42" t="s">
        <v>574</v>
      </c>
      <c r="N126" s="61" t="s">
        <v>673</v>
      </c>
      <c r="O126" s="61" t="s">
        <v>677</v>
      </c>
      <c r="P126" s="37"/>
      <c r="Q126" s="37" t="s">
        <v>679</v>
      </c>
      <c r="R126" s="60"/>
    </row>
    <row r="127" spans="1:18" s="7" customFormat="1" ht="60">
      <c r="A127" s="48"/>
      <c r="B127" s="45"/>
      <c r="C127" s="38"/>
      <c r="D127" s="31" t="s">
        <v>27</v>
      </c>
      <c r="E127" s="31" t="s">
        <v>80</v>
      </c>
      <c r="F127" s="38" t="str">
        <f t="shared" ref="F127:F132" si="32">IF($C127&lt;&gt;"",C127,"")</f>
        <v/>
      </c>
      <c r="G127" s="34">
        <v>1</v>
      </c>
      <c r="H127" s="34">
        <v>1</v>
      </c>
      <c r="I127" s="34">
        <v>5</v>
      </c>
      <c r="J127" s="35">
        <f t="shared" si="30"/>
        <v>5</v>
      </c>
      <c r="K127" s="35">
        <v>1</v>
      </c>
      <c r="L127" s="34">
        <f t="shared" si="31"/>
        <v>5</v>
      </c>
      <c r="M127" s="42" t="s">
        <v>602</v>
      </c>
      <c r="N127" s="61" t="s">
        <v>676</v>
      </c>
      <c r="O127" s="61" t="s">
        <v>678</v>
      </c>
      <c r="P127" s="37"/>
      <c r="Q127" s="37" t="s">
        <v>680</v>
      </c>
      <c r="R127" s="60"/>
    </row>
    <row r="128" spans="1:18" s="7" customFormat="1" ht="60">
      <c r="A128" s="48"/>
      <c r="B128" s="45"/>
      <c r="C128" s="38"/>
      <c r="D128" s="31" t="s">
        <v>32</v>
      </c>
      <c r="E128" s="31" t="s">
        <v>91</v>
      </c>
      <c r="F128" s="38" t="str">
        <f t="shared" si="32"/>
        <v/>
      </c>
      <c r="G128" s="34">
        <v>1</v>
      </c>
      <c r="H128" s="34">
        <v>1</v>
      </c>
      <c r="I128" s="34">
        <v>5</v>
      </c>
      <c r="J128" s="35">
        <f t="shared" si="30"/>
        <v>5</v>
      </c>
      <c r="K128" s="35">
        <v>1</v>
      </c>
      <c r="L128" s="34">
        <f t="shared" si="31"/>
        <v>5</v>
      </c>
      <c r="M128" s="42" t="s">
        <v>603</v>
      </c>
      <c r="N128" s="61" t="s">
        <v>676</v>
      </c>
      <c r="O128" s="61" t="s">
        <v>678</v>
      </c>
      <c r="P128" s="37"/>
      <c r="Q128" s="37" t="s">
        <v>680</v>
      </c>
      <c r="R128" s="60"/>
    </row>
    <row r="129" spans="1:18" s="7" customFormat="1" ht="45">
      <c r="A129" s="48"/>
      <c r="B129" s="45"/>
      <c r="C129" s="38"/>
      <c r="D129" s="31" t="s">
        <v>19</v>
      </c>
      <c r="E129" s="31" t="s">
        <v>70</v>
      </c>
      <c r="F129" s="38" t="str">
        <f t="shared" si="32"/>
        <v/>
      </c>
      <c r="G129" s="34">
        <v>1</v>
      </c>
      <c r="H129" s="34">
        <v>1</v>
      </c>
      <c r="I129" s="34">
        <v>5</v>
      </c>
      <c r="J129" s="35">
        <f t="shared" si="30"/>
        <v>5</v>
      </c>
      <c r="K129" s="35">
        <v>1</v>
      </c>
      <c r="L129" s="34">
        <f t="shared" si="31"/>
        <v>5</v>
      </c>
      <c r="M129" s="42" t="s">
        <v>610</v>
      </c>
      <c r="N129" s="61" t="s">
        <v>673</v>
      </c>
      <c r="O129" s="61" t="s">
        <v>685</v>
      </c>
      <c r="P129" s="37"/>
      <c r="Q129" s="37" t="s">
        <v>679</v>
      </c>
      <c r="R129" s="60"/>
    </row>
    <row r="130" spans="1:18" s="7" customFormat="1" ht="60">
      <c r="A130" s="48"/>
      <c r="B130" s="45"/>
      <c r="C130" s="38"/>
      <c r="D130" s="31" t="s">
        <v>10</v>
      </c>
      <c r="E130" s="31" t="s">
        <v>67</v>
      </c>
      <c r="F130" s="38" t="str">
        <f t="shared" si="32"/>
        <v/>
      </c>
      <c r="G130" s="34">
        <v>1</v>
      </c>
      <c r="H130" s="34">
        <v>1</v>
      </c>
      <c r="I130" s="34">
        <v>5</v>
      </c>
      <c r="J130" s="35">
        <f t="shared" si="30"/>
        <v>5</v>
      </c>
      <c r="K130" s="35">
        <v>1</v>
      </c>
      <c r="L130" s="41">
        <f t="shared" si="31"/>
        <v>5</v>
      </c>
      <c r="M130" s="42" t="s">
        <v>621</v>
      </c>
      <c r="N130" s="61" t="s">
        <v>673</v>
      </c>
      <c r="O130" s="61" t="s">
        <v>685</v>
      </c>
      <c r="P130" s="37"/>
      <c r="Q130" s="37" t="s">
        <v>679</v>
      </c>
      <c r="R130" s="60"/>
    </row>
    <row r="131" spans="1:18" s="7" customFormat="1" ht="60">
      <c r="A131" s="48"/>
      <c r="B131" s="45"/>
      <c r="C131" s="38"/>
      <c r="D131" s="31" t="s">
        <v>50</v>
      </c>
      <c r="E131" s="30" t="s">
        <v>72</v>
      </c>
      <c r="F131" s="38" t="str">
        <f t="shared" si="32"/>
        <v/>
      </c>
      <c r="G131" s="34">
        <v>1</v>
      </c>
      <c r="H131" s="34">
        <v>1</v>
      </c>
      <c r="I131" s="34">
        <v>5</v>
      </c>
      <c r="J131" s="35">
        <f t="shared" si="30"/>
        <v>5</v>
      </c>
      <c r="K131" s="35">
        <v>1</v>
      </c>
      <c r="L131" s="41">
        <f t="shared" si="31"/>
        <v>5</v>
      </c>
      <c r="M131" s="42" t="s">
        <v>612</v>
      </c>
      <c r="N131" s="61" t="s">
        <v>673</v>
      </c>
      <c r="O131" s="61" t="s">
        <v>683</v>
      </c>
      <c r="P131" s="37"/>
      <c r="Q131" s="37" t="s">
        <v>679</v>
      </c>
      <c r="R131" s="60"/>
    </row>
    <row r="132" spans="1:18" s="7" customFormat="1">
      <c r="A132" s="49"/>
      <c r="B132" s="46"/>
      <c r="C132" s="39"/>
      <c r="D132" s="31"/>
      <c r="E132" s="31"/>
      <c r="F132" s="39" t="str">
        <f t="shared" si="32"/>
        <v/>
      </c>
      <c r="G132" s="34"/>
      <c r="H132" s="34"/>
      <c r="I132" s="34"/>
      <c r="J132" s="35" t="str">
        <f t="shared" si="30"/>
        <v/>
      </c>
      <c r="K132" s="35"/>
      <c r="L132" s="41" t="str">
        <f t="shared" si="31"/>
        <v/>
      </c>
      <c r="M132" s="42"/>
      <c r="N132" s="60"/>
      <c r="O132" s="60"/>
      <c r="P132" s="37"/>
      <c r="Q132" s="37"/>
      <c r="R132" s="60"/>
    </row>
    <row r="133" spans="1:18" s="7" customFormat="1" ht="69.75" customHeight="1">
      <c r="A133" s="47">
        <v>12</v>
      </c>
      <c r="B133" s="44" t="s">
        <v>642</v>
      </c>
      <c r="C133" s="37" t="s">
        <v>434</v>
      </c>
      <c r="D133" s="31" t="s">
        <v>112</v>
      </c>
      <c r="E133" s="31" t="s">
        <v>650</v>
      </c>
      <c r="F133" s="37" t="s">
        <v>435</v>
      </c>
      <c r="G133" s="34">
        <v>5</v>
      </c>
      <c r="H133" s="34">
        <v>5</v>
      </c>
      <c r="I133" s="34">
        <v>5</v>
      </c>
      <c r="J133" s="35">
        <f>IF(MAX(G133:I133)=0,"",MAX(G133:I133))</f>
        <v>5</v>
      </c>
      <c r="K133" s="35">
        <v>1</v>
      </c>
      <c r="L133" s="34">
        <f>IFERROR(J133*K133,"")</f>
        <v>5</v>
      </c>
      <c r="M133" s="42" t="s">
        <v>571</v>
      </c>
      <c r="N133" s="61" t="s">
        <v>673</v>
      </c>
      <c r="O133" s="61" t="s">
        <v>685</v>
      </c>
      <c r="P133" s="37"/>
      <c r="Q133" s="37" t="s">
        <v>679</v>
      </c>
      <c r="R133" s="60"/>
    </row>
    <row r="134" spans="1:18" s="7" customFormat="1" ht="75">
      <c r="A134" s="48"/>
      <c r="B134" s="45"/>
      <c r="C134" s="38"/>
      <c r="D134" s="31" t="s">
        <v>36</v>
      </c>
      <c r="E134" s="31" t="s">
        <v>67</v>
      </c>
      <c r="F134" s="38" t="str">
        <f>IF($C134&lt;&gt;"",C134,"")</f>
        <v/>
      </c>
      <c r="G134" s="34">
        <v>1</v>
      </c>
      <c r="H134" s="34">
        <v>1</v>
      </c>
      <c r="I134" s="34">
        <v>5</v>
      </c>
      <c r="J134" s="35">
        <f t="shared" ref="J134:J136" si="33">IF(MAX(G134:I134)=0,"",MAX(G134:I134))</f>
        <v>5</v>
      </c>
      <c r="K134" s="35">
        <v>1</v>
      </c>
      <c r="L134" s="34">
        <f t="shared" ref="L134:L136" si="34">IFERROR(J134*K134,"")</f>
        <v>5</v>
      </c>
      <c r="M134" s="42" t="s">
        <v>618</v>
      </c>
      <c r="N134" s="61" t="s">
        <v>673</v>
      </c>
      <c r="O134" s="61" t="s">
        <v>672</v>
      </c>
      <c r="P134" s="37"/>
      <c r="Q134" s="37" t="s">
        <v>679</v>
      </c>
      <c r="R134" s="60"/>
    </row>
    <row r="135" spans="1:18" s="7" customFormat="1" ht="60">
      <c r="A135" s="48"/>
      <c r="B135" s="45"/>
      <c r="C135" s="38"/>
      <c r="D135" s="31" t="s">
        <v>10</v>
      </c>
      <c r="E135" s="31" t="s">
        <v>67</v>
      </c>
      <c r="F135" s="38" t="str">
        <f t="shared" ref="F135:F136" si="35">IF($C135&lt;&gt;"",C135,"")</f>
        <v/>
      </c>
      <c r="G135" s="34">
        <v>1</v>
      </c>
      <c r="H135" s="34">
        <v>1</v>
      </c>
      <c r="I135" s="34">
        <v>5</v>
      </c>
      <c r="J135" s="35">
        <f t="shared" si="33"/>
        <v>5</v>
      </c>
      <c r="K135" s="35">
        <v>1</v>
      </c>
      <c r="L135" s="41">
        <f t="shared" si="34"/>
        <v>5</v>
      </c>
      <c r="M135" s="42" t="s">
        <v>621</v>
      </c>
      <c r="N135" s="61" t="s">
        <v>673</v>
      </c>
      <c r="O135" s="61" t="s">
        <v>677</v>
      </c>
      <c r="P135" s="37"/>
      <c r="Q135" s="37" t="s">
        <v>679</v>
      </c>
      <c r="R135" s="60"/>
    </row>
    <row r="136" spans="1:18" s="7" customFormat="1" ht="60">
      <c r="A136" s="48"/>
      <c r="B136" s="45"/>
      <c r="C136" s="38"/>
      <c r="D136" s="31" t="s">
        <v>50</v>
      </c>
      <c r="E136" s="30" t="s">
        <v>72</v>
      </c>
      <c r="F136" s="38" t="str">
        <f t="shared" si="35"/>
        <v/>
      </c>
      <c r="G136" s="34">
        <v>1</v>
      </c>
      <c r="H136" s="34">
        <v>1</v>
      </c>
      <c r="I136" s="34">
        <v>5</v>
      </c>
      <c r="J136" s="35">
        <f t="shared" si="33"/>
        <v>5</v>
      </c>
      <c r="K136" s="35">
        <v>1</v>
      </c>
      <c r="L136" s="41">
        <f t="shared" si="34"/>
        <v>5</v>
      </c>
      <c r="M136" s="42" t="s">
        <v>612</v>
      </c>
      <c r="N136" s="61" t="s">
        <v>673</v>
      </c>
      <c r="O136" s="61" t="s">
        <v>677</v>
      </c>
      <c r="P136" s="37"/>
      <c r="Q136" s="37" t="s">
        <v>679</v>
      </c>
      <c r="R136" s="60"/>
    </row>
    <row r="137" spans="1:18" s="7" customFormat="1" ht="69.75" customHeight="1">
      <c r="A137" s="47">
        <v>13</v>
      </c>
      <c r="B137" s="44" t="s">
        <v>638</v>
      </c>
      <c r="C137" s="37" t="s">
        <v>434</v>
      </c>
      <c r="D137" s="31" t="s">
        <v>112</v>
      </c>
      <c r="E137" s="31" t="s">
        <v>650</v>
      </c>
      <c r="F137" s="37" t="s">
        <v>435</v>
      </c>
      <c r="G137" s="34">
        <v>5</v>
      </c>
      <c r="H137" s="34">
        <v>5</v>
      </c>
      <c r="I137" s="34">
        <v>5</v>
      </c>
      <c r="J137" s="35">
        <f>IF(MAX(G137:I137)=0,"",MAX(G137:I137))</f>
        <v>5</v>
      </c>
      <c r="K137" s="35">
        <v>1</v>
      </c>
      <c r="L137" s="34">
        <f>IFERROR(J137*K137,"")</f>
        <v>5</v>
      </c>
      <c r="M137" s="42" t="s">
        <v>571</v>
      </c>
      <c r="N137" s="61" t="s">
        <v>673</v>
      </c>
      <c r="O137" s="61" t="s">
        <v>685</v>
      </c>
      <c r="P137" s="37"/>
      <c r="Q137" s="37" t="s">
        <v>679</v>
      </c>
      <c r="R137" s="60"/>
    </row>
    <row r="138" spans="1:18" s="7" customFormat="1" ht="75">
      <c r="A138" s="48"/>
      <c r="B138" s="45"/>
      <c r="C138" s="38"/>
      <c r="D138" s="31" t="s">
        <v>36</v>
      </c>
      <c r="E138" s="31" t="s">
        <v>67</v>
      </c>
      <c r="F138" s="38" t="str">
        <f>IF($C138&lt;&gt;"",C138,"")</f>
        <v/>
      </c>
      <c r="G138" s="34">
        <v>1</v>
      </c>
      <c r="H138" s="34">
        <v>1</v>
      </c>
      <c r="I138" s="34">
        <v>5</v>
      </c>
      <c r="J138" s="35">
        <f t="shared" ref="J138:J140" si="36">IF(MAX(G138:I138)=0,"",MAX(G138:I138))</f>
        <v>5</v>
      </c>
      <c r="K138" s="35">
        <v>1</v>
      </c>
      <c r="L138" s="34">
        <f t="shared" ref="L138:L140" si="37">IFERROR(J138*K138,"")</f>
        <v>5</v>
      </c>
      <c r="M138" s="42" t="s">
        <v>618</v>
      </c>
      <c r="N138" s="61" t="s">
        <v>673</v>
      </c>
      <c r="O138" s="61" t="s">
        <v>672</v>
      </c>
      <c r="P138" s="37"/>
      <c r="Q138" s="37" t="s">
        <v>679</v>
      </c>
      <c r="R138" s="60"/>
    </row>
    <row r="139" spans="1:18" s="7" customFormat="1" ht="60">
      <c r="A139" s="48"/>
      <c r="B139" s="45"/>
      <c r="C139" s="38"/>
      <c r="D139" s="31" t="s">
        <v>10</v>
      </c>
      <c r="E139" s="31" t="s">
        <v>67</v>
      </c>
      <c r="F139" s="38" t="str">
        <f t="shared" ref="F139:F140" si="38">IF($C139&lt;&gt;"",C139,"")</f>
        <v/>
      </c>
      <c r="G139" s="34">
        <v>1</v>
      </c>
      <c r="H139" s="34">
        <v>1</v>
      </c>
      <c r="I139" s="34">
        <v>5</v>
      </c>
      <c r="J139" s="35">
        <f t="shared" si="36"/>
        <v>5</v>
      </c>
      <c r="K139" s="35">
        <v>1</v>
      </c>
      <c r="L139" s="41">
        <f t="shared" si="37"/>
        <v>5</v>
      </c>
      <c r="M139" s="42" t="s">
        <v>621</v>
      </c>
      <c r="N139" s="61" t="s">
        <v>673</v>
      </c>
      <c r="O139" s="61" t="s">
        <v>677</v>
      </c>
      <c r="P139" s="37"/>
      <c r="Q139" s="37" t="s">
        <v>680</v>
      </c>
      <c r="R139" s="60"/>
    </row>
    <row r="140" spans="1:18" s="7" customFormat="1" ht="60">
      <c r="A140" s="48"/>
      <c r="B140" s="45"/>
      <c r="C140" s="38"/>
      <c r="D140" s="31" t="s">
        <v>50</v>
      </c>
      <c r="E140" s="30" t="s">
        <v>72</v>
      </c>
      <c r="F140" s="38" t="str">
        <f t="shared" si="38"/>
        <v/>
      </c>
      <c r="G140" s="34">
        <v>1</v>
      </c>
      <c r="H140" s="34">
        <v>1</v>
      </c>
      <c r="I140" s="34">
        <v>5</v>
      </c>
      <c r="J140" s="35">
        <f t="shared" si="36"/>
        <v>5</v>
      </c>
      <c r="K140" s="35">
        <v>1</v>
      </c>
      <c r="L140" s="41">
        <f t="shared" si="37"/>
        <v>5</v>
      </c>
      <c r="M140" s="42" t="s">
        <v>612</v>
      </c>
      <c r="N140" s="61" t="s">
        <v>673</v>
      </c>
      <c r="O140" s="61" t="s">
        <v>677</v>
      </c>
      <c r="P140" s="37"/>
      <c r="Q140" s="37" t="s">
        <v>680</v>
      </c>
      <c r="R140" s="60"/>
    </row>
    <row r="141" spans="1:18" s="7" customFormat="1" ht="69.75" customHeight="1">
      <c r="A141" s="47">
        <v>14</v>
      </c>
      <c r="B141" s="44" t="s">
        <v>630</v>
      </c>
      <c r="C141" s="37" t="s">
        <v>434</v>
      </c>
      <c r="D141" s="31" t="s">
        <v>112</v>
      </c>
      <c r="E141" s="31" t="s">
        <v>651</v>
      </c>
      <c r="F141" s="37" t="s">
        <v>435</v>
      </c>
      <c r="G141" s="34">
        <v>1</v>
      </c>
      <c r="H141" s="34">
        <v>5</v>
      </c>
      <c r="I141" s="34">
        <v>5</v>
      </c>
      <c r="J141" s="35">
        <f>IF(MAX(G141:I141)=0,"",MAX(G141:I141))</f>
        <v>5</v>
      </c>
      <c r="K141" s="35">
        <v>1</v>
      </c>
      <c r="L141" s="34">
        <f>IFERROR(J141*K141,"")</f>
        <v>5</v>
      </c>
      <c r="M141" s="42" t="s">
        <v>571</v>
      </c>
      <c r="N141" s="61" t="s">
        <v>673</v>
      </c>
      <c r="O141" s="61" t="s">
        <v>685</v>
      </c>
      <c r="P141" s="37"/>
      <c r="Q141" s="37" t="s">
        <v>679</v>
      </c>
      <c r="R141" s="60"/>
    </row>
    <row r="142" spans="1:18" s="7" customFormat="1" ht="75">
      <c r="A142" s="48"/>
      <c r="B142" s="45"/>
      <c r="C142" s="38"/>
      <c r="D142" s="31" t="s">
        <v>36</v>
      </c>
      <c r="E142" s="31" t="s">
        <v>67</v>
      </c>
      <c r="F142" s="38" t="str">
        <f>IF($C142&lt;&gt;"",C142,"")</f>
        <v/>
      </c>
      <c r="G142" s="34">
        <v>1</v>
      </c>
      <c r="H142" s="34">
        <v>1</v>
      </c>
      <c r="I142" s="34">
        <v>5</v>
      </c>
      <c r="J142" s="35">
        <f t="shared" ref="J142:J144" si="39">IF(MAX(G142:I142)=0,"",MAX(G142:I142))</f>
        <v>5</v>
      </c>
      <c r="K142" s="35">
        <v>1</v>
      </c>
      <c r="L142" s="34">
        <f t="shared" ref="L142:L144" si="40">IFERROR(J142*K142,"")</f>
        <v>5</v>
      </c>
      <c r="M142" s="42" t="s">
        <v>618</v>
      </c>
      <c r="N142" s="61" t="s">
        <v>673</v>
      </c>
      <c r="O142" s="61" t="s">
        <v>672</v>
      </c>
      <c r="P142" s="37"/>
      <c r="Q142" s="37" t="s">
        <v>679</v>
      </c>
      <c r="R142" s="60"/>
    </row>
    <row r="143" spans="1:18" s="7" customFormat="1" ht="60">
      <c r="A143" s="48"/>
      <c r="B143" s="45"/>
      <c r="C143" s="38"/>
      <c r="D143" s="31" t="s">
        <v>10</v>
      </c>
      <c r="E143" s="31" t="s">
        <v>67</v>
      </c>
      <c r="F143" s="38" t="str">
        <f t="shared" ref="F143:F144" si="41">IF($C143&lt;&gt;"",C143,"")</f>
        <v/>
      </c>
      <c r="G143" s="34">
        <v>1</v>
      </c>
      <c r="H143" s="34">
        <v>1</v>
      </c>
      <c r="I143" s="34">
        <v>5</v>
      </c>
      <c r="J143" s="35">
        <f t="shared" si="39"/>
        <v>5</v>
      </c>
      <c r="K143" s="35">
        <v>1</v>
      </c>
      <c r="L143" s="41">
        <f t="shared" si="40"/>
        <v>5</v>
      </c>
      <c r="M143" s="42" t="s">
        <v>621</v>
      </c>
      <c r="N143" s="61" t="s">
        <v>673</v>
      </c>
      <c r="O143" s="61" t="s">
        <v>677</v>
      </c>
      <c r="P143" s="37"/>
      <c r="Q143" s="37" t="s">
        <v>679</v>
      </c>
      <c r="R143" s="60"/>
    </row>
    <row r="144" spans="1:18" s="7" customFormat="1" ht="60">
      <c r="A144" s="48"/>
      <c r="B144" s="45"/>
      <c r="C144" s="38"/>
      <c r="D144" s="31" t="s">
        <v>50</v>
      </c>
      <c r="E144" s="30" t="s">
        <v>72</v>
      </c>
      <c r="F144" s="38" t="str">
        <f t="shared" si="41"/>
        <v/>
      </c>
      <c r="G144" s="34">
        <v>1</v>
      </c>
      <c r="H144" s="34">
        <v>1</v>
      </c>
      <c r="I144" s="34">
        <v>5</v>
      </c>
      <c r="J144" s="35">
        <f t="shared" si="39"/>
        <v>5</v>
      </c>
      <c r="K144" s="35">
        <v>1</v>
      </c>
      <c r="L144" s="41">
        <f t="shared" si="40"/>
        <v>5</v>
      </c>
      <c r="M144" s="42" t="s">
        <v>612</v>
      </c>
      <c r="N144" s="61" t="s">
        <v>673</v>
      </c>
      <c r="O144" s="61" t="s">
        <v>677</v>
      </c>
      <c r="P144" s="37"/>
      <c r="Q144" s="37" t="s">
        <v>679</v>
      </c>
      <c r="R144" s="60"/>
    </row>
    <row r="145" spans="1:18" s="7" customFormat="1" ht="69.75" customHeight="1">
      <c r="A145" s="47">
        <v>15</v>
      </c>
      <c r="B145" s="44" t="s">
        <v>560</v>
      </c>
      <c r="C145" s="37" t="s">
        <v>434</v>
      </c>
      <c r="D145" s="31" t="s">
        <v>112</v>
      </c>
      <c r="E145" s="31" t="s">
        <v>652</v>
      </c>
      <c r="F145" s="37" t="s">
        <v>435</v>
      </c>
      <c r="G145" s="34">
        <v>5</v>
      </c>
      <c r="H145" s="34">
        <v>5</v>
      </c>
      <c r="I145" s="34">
        <v>5</v>
      </c>
      <c r="J145" s="35">
        <f>IF(MAX(G145:I145)=0,"",MAX(G145:I145))</f>
        <v>5</v>
      </c>
      <c r="K145" s="35">
        <v>1</v>
      </c>
      <c r="L145" s="34">
        <f>IFERROR(J145*K145,"")</f>
        <v>5</v>
      </c>
      <c r="M145" s="42" t="s">
        <v>571</v>
      </c>
      <c r="N145" s="61" t="s">
        <v>673</v>
      </c>
      <c r="O145" s="61" t="s">
        <v>685</v>
      </c>
      <c r="P145" s="37"/>
      <c r="Q145" s="37" t="s">
        <v>679</v>
      </c>
      <c r="R145" s="60"/>
    </row>
    <row r="146" spans="1:18" s="7" customFormat="1" ht="75">
      <c r="A146" s="48"/>
      <c r="B146" s="45"/>
      <c r="C146" s="38"/>
      <c r="D146" s="31" t="s">
        <v>36</v>
      </c>
      <c r="E146" s="31" t="s">
        <v>67</v>
      </c>
      <c r="F146" s="38" t="str">
        <f>IF($C146&lt;&gt;"",C146,"")</f>
        <v/>
      </c>
      <c r="G146" s="34">
        <v>1</v>
      </c>
      <c r="H146" s="34">
        <v>1</v>
      </c>
      <c r="I146" s="34">
        <v>5</v>
      </c>
      <c r="J146" s="35">
        <f t="shared" ref="J146:J148" si="42">IF(MAX(G146:I146)=0,"",MAX(G146:I146))</f>
        <v>5</v>
      </c>
      <c r="K146" s="35">
        <v>1</v>
      </c>
      <c r="L146" s="34">
        <f t="shared" ref="L146:L148" si="43">IFERROR(J146*K146,"")</f>
        <v>5</v>
      </c>
      <c r="M146" s="42" t="s">
        <v>618</v>
      </c>
      <c r="N146" s="61" t="s">
        <v>673</v>
      </c>
      <c r="O146" s="61" t="s">
        <v>672</v>
      </c>
      <c r="P146" s="37"/>
      <c r="Q146" s="37" t="s">
        <v>679</v>
      </c>
      <c r="R146" s="60"/>
    </row>
    <row r="147" spans="1:18" s="7" customFormat="1" ht="60">
      <c r="A147" s="48"/>
      <c r="B147" s="45"/>
      <c r="C147" s="38"/>
      <c r="D147" s="31" t="s">
        <v>10</v>
      </c>
      <c r="E147" s="31" t="s">
        <v>67</v>
      </c>
      <c r="F147" s="38" t="str">
        <f t="shared" ref="F147:F148" si="44">IF($C147&lt;&gt;"",C147,"")</f>
        <v/>
      </c>
      <c r="G147" s="34">
        <v>1</v>
      </c>
      <c r="H147" s="34">
        <v>1</v>
      </c>
      <c r="I147" s="34">
        <v>5</v>
      </c>
      <c r="J147" s="35">
        <f t="shared" si="42"/>
        <v>5</v>
      </c>
      <c r="K147" s="35">
        <v>1</v>
      </c>
      <c r="L147" s="41">
        <f t="shared" si="43"/>
        <v>5</v>
      </c>
      <c r="M147" s="42" t="s">
        <v>621</v>
      </c>
      <c r="N147" s="61" t="s">
        <v>673</v>
      </c>
      <c r="O147" s="61" t="s">
        <v>677</v>
      </c>
      <c r="P147" s="37"/>
      <c r="Q147" s="37" t="s">
        <v>679</v>
      </c>
      <c r="R147" s="60"/>
    </row>
    <row r="148" spans="1:18" s="7" customFormat="1" ht="60">
      <c r="A148" s="48"/>
      <c r="B148" s="45"/>
      <c r="C148" s="38"/>
      <c r="D148" s="31" t="s">
        <v>50</v>
      </c>
      <c r="E148" s="30" t="s">
        <v>72</v>
      </c>
      <c r="F148" s="38" t="str">
        <f t="shared" si="44"/>
        <v/>
      </c>
      <c r="G148" s="34">
        <v>1</v>
      </c>
      <c r="H148" s="34">
        <v>1</v>
      </c>
      <c r="I148" s="34">
        <v>5</v>
      </c>
      <c r="J148" s="35">
        <f t="shared" si="42"/>
        <v>5</v>
      </c>
      <c r="K148" s="35">
        <v>1</v>
      </c>
      <c r="L148" s="41">
        <f t="shared" si="43"/>
        <v>5</v>
      </c>
      <c r="M148" s="42" t="s">
        <v>612</v>
      </c>
      <c r="N148" s="61" t="s">
        <v>673</v>
      </c>
      <c r="O148" s="61" t="s">
        <v>677</v>
      </c>
      <c r="P148" s="37"/>
      <c r="Q148" s="37" t="s">
        <v>679</v>
      </c>
      <c r="R148" s="60"/>
    </row>
    <row r="149" spans="1:18" s="7" customFormat="1" ht="135">
      <c r="A149" s="47">
        <v>16</v>
      </c>
      <c r="B149" s="44" t="s">
        <v>636</v>
      </c>
      <c r="C149" s="37" t="s">
        <v>434</v>
      </c>
      <c r="D149" s="31" t="s">
        <v>112</v>
      </c>
      <c r="E149" s="31" t="s">
        <v>653</v>
      </c>
      <c r="F149" s="37" t="s">
        <v>435</v>
      </c>
      <c r="G149" s="34">
        <v>5</v>
      </c>
      <c r="H149" s="34">
        <v>5</v>
      </c>
      <c r="I149" s="34">
        <v>5</v>
      </c>
      <c r="J149" s="35">
        <f>IF(MAX(G149:I149)=0,"",MAX(G149:I149))</f>
        <v>5</v>
      </c>
      <c r="K149" s="35">
        <v>1</v>
      </c>
      <c r="L149" s="34">
        <f>IFERROR(J149*K149,"")</f>
        <v>5</v>
      </c>
      <c r="M149" s="42" t="s">
        <v>596</v>
      </c>
      <c r="N149" s="61" t="s">
        <v>673</v>
      </c>
      <c r="O149" s="61" t="s">
        <v>685</v>
      </c>
      <c r="P149" s="37"/>
      <c r="Q149" s="37" t="s">
        <v>679</v>
      </c>
      <c r="R149" s="60"/>
    </row>
    <row r="150" spans="1:18" s="7" customFormat="1" ht="75">
      <c r="A150" s="48"/>
      <c r="B150" s="45"/>
      <c r="C150" s="38"/>
      <c r="D150" s="31" t="s">
        <v>25</v>
      </c>
      <c r="E150" s="31" t="s">
        <v>67</v>
      </c>
      <c r="F150" s="38" t="str">
        <f>IF($C150&lt;&gt;"",C150,"")</f>
        <v/>
      </c>
      <c r="G150" s="34">
        <v>1</v>
      </c>
      <c r="H150" s="34">
        <v>1</v>
      </c>
      <c r="I150" s="34">
        <v>5</v>
      </c>
      <c r="J150" s="35">
        <f t="shared" ref="J150:J156" si="45">IF(MAX(G150:I150)=0,"",MAX(G150:I150))</f>
        <v>5</v>
      </c>
      <c r="K150" s="35">
        <v>1</v>
      </c>
      <c r="L150" s="34">
        <f t="shared" ref="L150:L156" si="46">IFERROR(J150*K150,"")</f>
        <v>5</v>
      </c>
      <c r="M150" s="42" t="s">
        <v>594</v>
      </c>
      <c r="N150" s="61" t="s">
        <v>673</v>
      </c>
      <c r="O150" s="61" t="s">
        <v>677</v>
      </c>
      <c r="P150" s="37"/>
      <c r="Q150" s="37" t="s">
        <v>679</v>
      </c>
      <c r="R150" s="60"/>
    </row>
    <row r="151" spans="1:18" s="7" customFormat="1" ht="60">
      <c r="A151" s="48"/>
      <c r="B151" s="45"/>
      <c r="C151" s="38"/>
      <c r="D151" s="31" t="s">
        <v>25</v>
      </c>
      <c r="E151" s="31" t="s">
        <v>69</v>
      </c>
      <c r="F151" s="38" t="str">
        <f>IF($C151&lt;&gt;"",C151,"")</f>
        <v/>
      </c>
      <c r="G151" s="34">
        <v>1</v>
      </c>
      <c r="H151" s="34">
        <v>1</v>
      </c>
      <c r="I151" s="34">
        <v>5</v>
      </c>
      <c r="J151" s="35">
        <f t="shared" si="45"/>
        <v>5</v>
      </c>
      <c r="K151" s="35">
        <v>1</v>
      </c>
      <c r="L151" s="34">
        <f t="shared" si="46"/>
        <v>5</v>
      </c>
      <c r="M151" s="42" t="s">
        <v>590</v>
      </c>
      <c r="N151" s="61" t="s">
        <v>673</v>
      </c>
      <c r="O151" s="61" t="s">
        <v>677</v>
      </c>
      <c r="P151" s="37"/>
      <c r="Q151" s="37" t="s">
        <v>679</v>
      </c>
      <c r="R151" s="60"/>
    </row>
    <row r="152" spans="1:18" s="7" customFormat="1" ht="60">
      <c r="A152" s="48"/>
      <c r="B152" s="45"/>
      <c r="C152" s="38"/>
      <c r="D152" s="31" t="s">
        <v>25</v>
      </c>
      <c r="E152" s="31" t="s">
        <v>81</v>
      </c>
      <c r="F152" s="38"/>
      <c r="G152" s="34">
        <v>1</v>
      </c>
      <c r="H152" s="34">
        <v>1</v>
      </c>
      <c r="I152" s="34">
        <v>5</v>
      </c>
      <c r="J152" s="35">
        <f t="shared" si="45"/>
        <v>5</v>
      </c>
      <c r="K152" s="35">
        <v>1</v>
      </c>
      <c r="L152" s="34">
        <f t="shared" si="46"/>
        <v>5</v>
      </c>
      <c r="M152" s="42" t="s">
        <v>591</v>
      </c>
      <c r="N152" s="61" t="s">
        <v>673</v>
      </c>
      <c r="O152" s="61" t="s">
        <v>677</v>
      </c>
      <c r="P152" s="37"/>
      <c r="Q152" s="37" t="s">
        <v>679</v>
      </c>
      <c r="R152" s="60"/>
    </row>
    <row r="153" spans="1:18" s="7" customFormat="1" ht="60">
      <c r="A153" s="48"/>
      <c r="B153" s="45"/>
      <c r="C153" s="38"/>
      <c r="D153" s="31" t="s">
        <v>25</v>
      </c>
      <c r="E153" s="31" t="s">
        <v>90</v>
      </c>
      <c r="F153" s="38"/>
      <c r="G153" s="34">
        <v>1</v>
      </c>
      <c r="H153" s="34">
        <v>1</v>
      </c>
      <c r="I153" s="34">
        <v>5</v>
      </c>
      <c r="J153" s="35">
        <f t="shared" si="45"/>
        <v>5</v>
      </c>
      <c r="K153" s="35">
        <v>1</v>
      </c>
      <c r="L153" s="34">
        <f t="shared" si="46"/>
        <v>5</v>
      </c>
      <c r="M153" s="42" t="s">
        <v>584</v>
      </c>
      <c r="N153" s="61" t="s">
        <v>673</v>
      </c>
      <c r="O153" s="61" t="s">
        <v>677</v>
      </c>
      <c r="P153" s="37"/>
      <c r="Q153" s="37" t="s">
        <v>679</v>
      </c>
      <c r="R153" s="60"/>
    </row>
    <row r="154" spans="1:18" s="7" customFormat="1" ht="60">
      <c r="A154" s="48"/>
      <c r="B154" s="45"/>
      <c r="C154" s="38"/>
      <c r="D154" s="31" t="s">
        <v>25</v>
      </c>
      <c r="E154" s="31" t="s">
        <v>91</v>
      </c>
      <c r="F154" s="38"/>
      <c r="G154" s="34">
        <v>1</v>
      </c>
      <c r="H154" s="34">
        <v>1</v>
      </c>
      <c r="I154" s="34">
        <v>5</v>
      </c>
      <c r="J154" s="35">
        <f t="shared" si="45"/>
        <v>5</v>
      </c>
      <c r="K154" s="35">
        <v>1</v>
      </c>
      <c r="L154" s="34">
        <f t="shared" si="46"/>
        <v>5</v>
      </c>
      <c r="M154" s="42" t="s">
        <v>585</v>
      </c>
      <c r="N154" s="61" t="s">
        <v>673</v>
      </c>
      <c r="O154" s="61" t="s">
        <v>677</v>
      </c>
      <c r="P154" s="37"/>
      <c r="Q154" s="37" t="s">
        <v>679</v>
      </c>
      <c r="R154" s="60"/>
    </row>
    <row r="155" spans="1:18" s="7" customFormat="1" ht="60">
      <c r="A155" s="48"/>
      <c r="B155" s="45"/>
      <c r="C155" s="38"/>
      <c r="D155" s="31" t="s">
        <v>38</v>
      </c>
      <c r="E155" s="31" t="s">
        <v>68</v>
      </c>
      <c r="F155" s="38" t="str">
        <f t="shared" ref="F155:F156" si="47">IF($C155&lt;&gt;"",C155,"")</f>
        <v/>
      </c>
      <c r="G155" s="34">
        <v>5</v>
      </c>
      <c r="H155" s="34">
        <v>1</v>
      </c>
      <c r="I155" s="34">
        <v>1</v>
      </c>
      <c r="J155" s="35">
        <f t="shared" si="45"/>
        <v>5</v>
      </c>
      <c r="K155" s="35">
        <v>1</v>
      </c>
      <c r="L155" s="41">
        <f t="shared" si="46"/>
        <v>5</v>
      </c>
      <c r="M155" s="42" t="s">
        <v>587</v>
      </c>
      <c r="N155" s="61" t="s">
        <v>673</v>
      </c>
      <c r="O155" s="60" t="s">
        <v>682</v>
      </c>
      <c r="P155" s="37"/>
      <c r="Q155" s="37" t="s">
        <v>679</v>
      </c>
      <c r="R155" s="60"/>
    </row>
    <row r="156" spans="1:18" s="7" customFormat="1" ht="75">
      <c r="A156" s="48"/>
      <c r="B156" s="45"/>
      <c r="C156" s="38"/>
      <c r="D156" s="31" t="s">
        <v>38</v>
      </c>
      <c r="E156" s="31" t="s">
        <v>72</v>
      </c>
      <c r="F156" s="38" t="str">
        <f t="shared" si="47"/>
        <v/>
      </c>
      <c r="G156" s="34">
        <v>5</v>
      </c>
      <c r="H156" s="34">
        <v>5</v>
      </c>
      <c r="I156" s="34">
        <v>5</v>
      </c>
      <c r="J156" s="35">
        <f t="shared" si="45"/>
        <v>5</v>
      </c>
      <c r="K156" s="35">
        <v>1</v>
      </c>
      <c r="L156" s="41">
        <f t="shared" si="46"/>
        <v>5</v>
      </c>
      <c r="M156" s="42" t="s">
        <v>577</v>
      </c>
      <c r="N156" s="61" t="s">
        <v>673</v>
      </c>
      <c r="O156" s="60" t="s">
        <v>683</v>
      </c>
      <c r="P156" s="37"/>
      <c r="Q156" s="37" t="s">
        <v>679</v>
      </c>
      <c r="R156" s="60"/>
    </row>
    <row r="157" spans="1:18" s="7" customFormat="1" ht="69.75" customHeight="1">
      <c r="A157" s="47">
        <v>17</v>
      </c>
      <c r="B157" s="44" t="s">
        <v>637</v>
      </c>
      <c r="C157" s="37" t="s">
        <v>434</v>
      </c>
      <c r="D157" s="31" t="s">
        <v>112</v>
      </c>
      <c r="E157" s="31" t="s">
        <v>654</v>
      </c>
      <c r="F157" s="37" t="s">
        <v>435</v>
      </c>
      <c r="G157" s="34">
        <v>1</v>
      </c>
      <c r="H157" s="34">
        <v>1</v>
      </c>
      <c r="I157" s="34">
        <v>3</v>
      </c>
      <c r="J157" s="35">
        <f>IF(MAX(G157:I157)=0,"",MAX(G157:I157))</f>
        <v>3</v>
      </c>
      <c r="K157" s="35">
        <v>1</v>
      </c>
      <c r="L157" s="34">
        <f>IFERROR(J157*K157,"")</f>
        <v>3</v>
      </c>
      <c r="M157" s="42" t="s">
        <v>571</v>
      </c>
      <c r="N157" s="61" t="s">
        <v>673</v>
      </c>
      <c r="O157" s="61" t="s">
        <v>685</v>
      </c>
      <c r="P157" s="37"/>
      <c r="Q157" s="37" t="s">
        <v>679</v>
      </c>
      <c r="R157" s="60"/>
    </row>
    <row r="158" spans="1:18" s="7" customFormat="1" ht="75">
      <c r="A158" s="48"/>
      <c r="B158" s="45"/>
      <c r="C158" s="38"/>
      <c r="D158" s="31" t="s">
        <v>36</v>
      </c>
      <c r="E158" s="31" t="s">
        <v>67</v>
      </c>
      <c r="F158" s="38" t="str">
        <f>IF($C158&lt;&gt;"",C158,"")</f>
        <v/>
      </c>
      <c r="G158" s="34">
        <v>1</v>
      </c>
      <c r="H158" s="34">
        <v>1</v>
      </c>
      <c r="I158" s="34">
        <v>3</v>
      </c>
      <c r="J158" s="35">
        <f t="shared" ref="J158:J160" si="48">IF(MAX(G158:I158)=0,"",MAX(G158:I158))</f>
        <v>3</v>
      </c>
      <c r="K158" s="35">
        <v>1</v>
      </c>
      <c r="L158" s="34">
        <f t="shared" ref="L158:L160" si="49">IFERROR(J158*K158,"")</f>
        <v>3</v>
      </c>
      <c r="M158" s="42" t="s">
        <v>618</v>
      </c>
      <c r="N158" s="61" t="s">
        <v>673</v>
      </c>
      <c r="O158" s="61" t="s">
        <v>672</v>
      </c>
      <c r="P158" s="37"/>
      <c r="Q158" s="37" t="s">
        <v>679</v>
      </c>
      <c r="R158" s="60"/>
    </row>
    <row r="159" spans="1:18" s="7" customFormat="1" ht="60">
      <c r="A159" s="48"/>
      <c r="B159" s="45"/>
      <c r="C159" s="38"/>
      <c r="D159" s="31" t="s">
        <v>10</v>
      </c>
      <c r="E159" s="31" t="s">
        <v>67</v>
      </c>
      <c r="F159" s="38" t="str">
        <f t="shared" ref="F159:F160" si="50">IF($C159&lt;&gt;"",C159,"")</f>
        <v/>
      </c>
      <c r="G159" s="34">
        <v>1</v>
      </c>
      <c r="H159" s="34">
        <v>1</v>
      </c>
      <c r="I159" s="34">
        <v>3</v>
      </c>
      <c r="J159" s="35">
        <f t="shared" si="48"/>
        <v>3</v>
      </c>
      <c r="K159" s="35">
        <v>1</v>
      </c>
      <c r="L159" s="41">
        <f t="shared" si="49"/>
        <v>3</v>
      </c>
      <c r="M159" s="42" t="s">
        <v>621</v>
      </c>
      <c r="N159" s="61" t="s">
        <v>673</v>
      </c>
      <c r="O159" s="61" t="s">
        <v>677</v>
      </c>
      <c r="P159" s="37"/>
      <c r="Q159" s="37" t="s">
        <v>679</v>
      </c>
      <c r="R159" s="60"/>
    </row>
    <row r="160" spans="1:18" s="7" customFormat="1" ht="60">
      <c r="A160" s="48"/>
      <c r="B160" s="45"/>
      <c r="C160" s="38"/>
      <c r="D160" s="31" t="s">
        <v>50</v>
      </c>
      <c r="E160" s="30" t="s">
        <v>72</v>
      </c>
      <c r="F160" s="38" t="str">
        <f t="shared" si="50"/>
        <v/>
      </c>
      <c r="G160" s="34">
        <v>1</v>
      </c>
      <c r="H160" s="34">
        <v>1</v>
      </c>
      <c r="I160" s="34">
        <v>3</v>
      </c>
      <c r="J160" s="35">
        <f t="shared" si="48"/>
        <v>3</v>
      </c>
      <c r="K160" s="35">
        <v>1</v>
      </c>
      <c r="L160" s="41">
        <f t="shared" si="49"/>
        <v>3</v>
      </c>
      <c r="M160" s="42" t="s">
        <v>612</v>
      </c>
      <c r="N160" s="61" t="s">
        <v>673</v>
      </c>
      <c r="O160" s="61" t="s">
        <v>683</v>
      </c>
      <c r="P160" s="37"/>
      <c r="Q160" s="37" t="s">
        <v>679</v>
      </c>
      <c r="R160" s="60"/>
    </row>
    <row r="161" spans="1:18" s="7" customFormat="1" ht="69.75" customHeight="1">
      <c r="A161" s="47">
        <v>18</v>
      </c>
      <c r="B161" s="44" t="s">
        <v>633</v>
      </c>
      <c r="C161" s="37" t="s">
        <v>434</v>
      </c>
      <c r="D161" s="31" t="s">
        <v>112</v>
      </c>
      <c r="E161" s="31" t="s">
        <v>655</v>
      </c>
      <c r="F161" s="37" t="s">
        <v>435</v>
      </c>
      <c r="G161" s="34">
        <v>5</v>
      </c>
      <c r="H161" s="34">
        <v>5</v>
      </c>
      <c r="I161" s="34">
        <v>5</v>
      </c>
      <c r="J161" s="35">
        <f>IF(MAX(G161:I161)=0,"",MAX(G161:I161))</f>
        <v>5</v>
      </c>
      <c r="K161" s="35">
        <v>1</v>
      </c>
      <c r="L161" s="34">
        <f>IFERROR(J161*K161,"")</f>
        <v>5</v>
      </c>
      <c r="M161" s="42" t="s">
        <v>571</v>
      </c>
      <c r="N161" s="61" t="s">
        <v>673</v>
      </c>
      <c r="O161" s="61" t="s">
        <v>685</v>
      </c>
      <c r="P161" s="37"/>
      <c r="Q161" s="37" t="s">
        <v>679</v>
      </c>
      <c r="R161" s="60"/>
    </row>
    <row r="162" spans="1:18" s="7" customFormat="1" ht="75">
      <c r="A162" s="48"/>
      <c r="B162" s="45"/>
      <c r="C162" s="38"/>
      <c r="D162" s="31" t="s">
        <v>36</v>
      </c>
      <c r="E162" s="31" t="s">
        <v>67</v>
      </c>
      <c r="F162" s="38" t="str">
        <f>IF($C162&lt;&gt;"",C162,"")</f>
        <v/>
      </c>
      <c r="G162" s="34">
        <v>1</v>
      </c>
      <c r="H162" s="34">
        <v>1</v>
      </c>
      <c r="I162" s="34">
        <v>3</v>
      </c>
      <c r="J162" s="35">
        <f t="shared" ref="J162:J164" si="51">IF(MAX(G162:I162)=0,"",MAX(G162:I162))</f>
        <v>3</v>
      </c>
      <c r="K162" s="35">
        <v>1</v>
      </c>
      <c r="L162" s="34">
        <f t="shared" ref="L162:L164" si="52">IFERROR(J162*K162,"")</f>
        <v>3</v>
      </c>
      <c r="M162" s="42" t="s">
        <v>618</v>
      </c>
      <c r="N162" s="61" t="s">
        <v>673</v>
      </c>
      <c r="O162" s="61" t="s">
        <v>672</v>
      </c>
      <c r="P162" s="37"/>
      <c r="Q162" s="37" t="s">
        <v>679</v>
      </c>
      <c r="R162" s="60"/>
    </row>
    <row r="163" spans="1:18" s="7" customFormat="1" ht="60">
      <c r="A163" s="48"/>
      <c r="B163" s="45"/>
      <c r="C163" s="38"/>
      <c r="D163" s="31" t="s">
        <v>10</v>
      </c>
      <c r="E163" s="31" t="s">
        <v>67</v>
      </c>
      <c r="F163" s="38" t="str">
        <f t="shared" ref="F163:F164" si="53">IF($C163&lt;&gt;"",C163,"")</f>
        <v/>
      </c>
      <c r="G163" s="34">
        <v>1</v>
      </c>
      <c r="H163" s="34">
        <v>1</v>
      </c>
      <c r="I163" s="34">
        <v>3</v>
      </c>
      <c r="J163" s="35">
        <f t="shared" si="51"/>
        <v>3</v>
      </c>
      <c r="K163" s="35">
        <v>1</v>
      </c>
      <c r="L163" s="41">
        <f t="shared" si="52"/>
        <v>3</v>
      </c>
      <c r="M163" s="42" t="s">
        <v>621</v>
      </c>
      <c r="N163" s="61" t="s">
        <v>673</v>
      </c>
      <c r="O163" s="61" t="s">
        <v>677</v>
      </c>
      <c r="P163" s="37"/>
      <c r="Q163" s="37" t="s">
        <v>679</v>
      </c>
      <c r="R163" s="60"/>
    </row>
    <row r="164" spans="1:18" s="7" customFormat="1" ht="60">
      <c r="A164" s="48"/>
      <c r="B164" s="45"/>
      <c r="C164" s="38"/>
      <c r="D164" s="31" t="s">
        <v>50</v>
      </c>
      <c r="E164" s="30" t="s">
        <v>72</v>
      </c>
      <c r="F164" s="38" t="str">
        <f t="shared" si="53"/>
        <v/>
      </c>
      <c r="G164" s="34">
        <v>1</v>
      </c>
      <c r="H164" s="34">
        <v>1</v>
      </c>
      <c r="I164" s="34">
        <v>3</v>
      </c>
      <c r="J164" s="35">
        <f t="shared" si="51"/>
        <v>3</v>
      </c>
      <c r="K164" s="35">
        <v>1</v>
      </c>
      <c r="L164" s="41">
        <f t="shared" si="52"/>
        <v>3</v>
      </c>
      <c r="M164" s="42" t="s">
        <v>612</v>
      </c>
      <c r="N164" s="61" t="s">
        <v>673</v>
      </c>
      <c r="O164" s="61" t="s">
        <v>683</v>
      </c>
      <c r="P164" s="37"/>
      <c r="Q164" s="37" t="s">
        <v>679</v>
      </c>
      <c r="R164" s="60"/>
    </row>
    <row r="165" spans="1:18" s="7" customFormat="1" ht="69.75" customHeight="1">
      <c r="A165" s="47">
        <v>19</v>
      </c>
      <c r="B165" s="44" t="s">
        <v>635</v>
      </c>
      <c r="C165" s="37" t="s">
        <v>434</v>
      </c>
      <c r="D165" s="31" t="s">
        <v>112</v>
      </c>
      <c r="E165" s="31" t="s">
        <v>655</v>
      </c>
      <c r="F165" s="37" t="s">
        <v>435</v>
      </c>
      <c r="G165" s="34">
        <v>5</v>
      </c>
      <c r="H165" s="34">
        <v>5</v>
      </c>
      <c r="I165" s="34">
        <v>5</v>
      </c>
      <c r="J165" s="35">
        <f>IF(MAX(G165:I165)=0,"",MAX(G165:I165))</f>
        <v>5</v>
      </c>
      <c r="K165" s="35">
        <v>1</v>
      </c>
      <c r="L165" s="34">
        <f>IFERROR(J165*K165,"")</f>
        <v>5</v>
      </c>
      <c r="M165" s="42" t="s">
        <v>571</v>
      </c>
      <c r="N165" s="61" t="s">
        <v>673</v>
      </c>
      <c r="O165" s="61" t="s">
        <v>685</v>
      </c>
      <c r="P165" s="37"/>
      <c r="Q165" s="37" t="s">
        <v>679</v>
      </c>
      <c r="R165" s="60"/>
    </row>
    <row r="166" spans="1:18" s="7" customFormat="1" ht="75">
      <c r="A166" s="48"/>
      <c r="B166" s="45"/>
      <c r="C166" s="38"/>
      <c r="D166" s="31" t="s">
        <v>36</v>
      </c>
      <c r="E166" s="31" t="s">
        <v>67</v>
      </c>
      <c r="F166" s="38" t="str">
        <f>IF($C166&lt;&gt;"",C166,"")</f>
        <v/>
      </c>
      <c r="G166" s="34">
        <v>1</v>
      </c>
      <c r="H166" s="34">
        <v>1</v>
      </c>
      <c r="I166" s="34">
        <v>3</v>
      </c>
      <c r="J166" s="35">
        <f t="shared" ref="J166:J168" si="54">IF(MAX(G166:I166)=0,"",MAX(G166:I166))</f>
        <v>3</v>
      </c>
      <c r="K166" s="35">
        <v>1</v>
      </c>
      <c r="L166" s="34">
        <f t="shared" ref="L166:L168" si="55">IFERROR(J166*K166,"")</f>
        <v>3</v>
      </c>
      <c r="M166" s="42" t="s">
        <v>618</v>
      </c>
      <c r="N166" s="61" t="s">
        <v>673</v>
      </c>
      <c r="O166" s="61" t="s">
        <v>672</v>
      </c>
      <c r="P166" s="37"/>
      <c r="Q166" s="37" t="s">
        <v>679</v>
      </c>
      <c r="R166" s="60"/>
    </row>
    <row r="167" spans="1:18" s="7" customFormat="1" ht="60">
      <c r="A167" s="48"/>
      <c r="B167" s="45"/>
      <c r="C167" s="38"/>
      <c r="D167" s="31" t="s">
        <v>10</v>
      </c>
      <c r="E167" s="31" t="s">
        <v>67</v>
      </c>
      <c r="F167" s="38" t="str">
        <f t="shared" ref="F167:F168" si="56">IF($C167&lt;&gt;"",C167,"")</f>
        <v/>
      </c>
      <c r="G167" s="34">
        <v>1</v>
      </c>
      <c r="H167" s="34">
        <v>1</v>
      </c>
      <c r="I167" s="34">
        <v>3</v>
      </c>
      <c r="J167" s="35">
        <f t="shared" si="54"/>
        <v>3</v>
      </c>
      <c r="K167" s="35">
        <v>1</v>
      </c>
      <c r="L167" s="41">
        <f t="shared" si="55"/>
        <v>3</v>
      </c>
      <c r="M167" s="42" t="s">
        <v>621</v>
      </c>
      <c r="N167" s="61" t="s">
        <v>673</v>
      </c>
      <c r="O167" s="61" t="s">
        <v>677</v>
      </c>
      <c r="P167" s="37"/>
      <c r="Q167" s="37" t="s">
        <v>679</v>
      </c>
      <c r="R167" s="60"/>
    </row>
    <row r="168" spans="1:18" s="7" customFormat="1" ht="60">
      <c r="A168" s="48"/>
      <c r="B168" s="45"/>
      <c r="C168" s="38"/>
      <c r="D168" s="31" t="s">
        <v>50</v>
      </c>
      <c r="E168" s="30" t="s">
        <v>72</v>
      </c>
      <c r="F168" s="38" t="str">
        <f t="shared" si="56"/>
        <v/>
      </c>
      <c r="G168" s="34">
        <v>1</v>
      </c>
      <c r="H168" s="34">
        <v>1</v>
      </c>
      <c r="I168" s="34">
        <v>3</v>
      </c>
      <c r="J168" s="35">
        <f t="shared" si="54"/>
        <v>3</v>
      </c>
      <c r="K168" s="35">
        <v>1</v>
      </c>
      <c r="L168" s="41">
        <f t="shared" si="55"/>
        <v>3</v>
      </c>
      <c r="M168" s="42" t="s">
        <v>612</v>
      </c>
      <c r="N168" s="61" t="s">
        <v>673</v>
      </c>
      <c r="O168" s="61" t="s">
        <v>683</v>
      </c>
      <c r="P168" s="37"/>
      <c r="Q168" s="37" t="s">
        <v>679</v>
      </c>
      <c r="R168" s="60"/>
    </row>
    <row r="169" spans="1:18" s="7" customFormat="1" ht="69.75" customHeight="1">
      <c r="A169" s="47">
        <v>20</v>
      </c>
      <c r="B169" s="44" t="s">
        <v>646</v>
      </c>
      <c r="C169" s="37" t="s">
        <v>434</v>
      </c>
      <c r="D169" s="31" t="s">
        <v>112</v>
      </c>
      <c r="E169" s="31" t="s">
        <v>655</v>
      </c>
      <c r="F169" s="37" t="s">
        <v>435</v>
      </c>
      <c r="G169" s="34">
        <v>5</v>
      </c>
      <c r="H169" s="34">
        <v>5</v>
      </c>
      <c r="I169" s="34">
        <v>5</v>
      </c>
      <c r="J169" s="35">
        <f>IF(MAX(G169:I169)=0,"",MAX(G169:I169))</f>
        <v>5</v>
      </c>
      <c r="K169" s="35">
        <v>1</v>
      </c>
      <c r="L169" s="34">
        <f>IFERROR(J169*K169,"")</f>
        <v>5</v>
      </c>
      <c r="M169" s="42" t="s">
        <v>571</v>
      </c>
      <c r="N169" s="61" t="s">
        <v>673</v>
      </c>
      <c r="O169" s="61" t="s">
        <v>685</v>
      </c>
      <c r="P169" s="37"/>
      <c r="Q169" s="37" t="s">
        <v>679</v>
      </c>
      <c r="R169" s="60"/>
    </row>
    <row r="170" spans="1:18" s="7" customFormat="1" ht="75">
      <c r="A170" s="48"/>
      <c r="B170" s="45"/>
      <c r="C170" s="38"/>
      <c r="D170" s="31" t="s">
        <v>36</v>
      </c>
      <c r="E170" s="31" t="s">
        <v>67</v>
      </c>
      <c r="F170" s="38" t="str">
        <f>IF($C170&lt;&gt;"",C170,"")</f>
        <v/>
      </c>
      <c r="G170" s="34">
        <v>1</v>
      </c>
      <c r="H170" s="34">
        <v>1</v>
      </c>
      <c r="I170" s="34">
        <v>3</v>
      </c>
      <c r="J170" s="35">
        <f t="shared" ref="J170:J172" si="57">IF(MAX(G170:I170)=0,"",MAX(G170:I170))</f>
        <v>3</v>
      </c>
      <c r="K170" s="35">
        <v>1</v>
      </c>
      <c r="L170" s="34">
        <f t="shared" ref="L170:L172" si="58">IFERROR(J170*K170,"")</f>
        <v>3</v>
      </c>
      <c r="M170" s="42" t="s">
        <v>618</v>
      </c>
      <c r="N170" s="61" t="s">
        <v>673</v>
      </c>
      <c r="O170" s="61" t="s">
        <v>672</v>
      </c>
      <c r="P170" s="37"/>
      <c r="Q170" s="37" t="s">
        <v>679</v>
      </c>
      <c r="R170" s="60"/>
    </row>
    <row r="171" spans="1:18" s="7" customFormat="1" ht="60">
      <c r="A171" s="48"/>
      <c r="B171" s="45"/>
      <c r="C171" s="38"/>
      <c r="D171" s="31" t="s">
        <v>10</v>
      </c>
      <c r="E171" s="31" t="s">
        <v>67</v>
      </c>
      <c r="F171" s="38" t="str">
        <f t="shared" ref="F171:F172" si="59">IF($C171&lt;&gt;"",C171,"")</f>
        <v/>
      </c>
      <c r="G171" s="34">
        <v>1</v>
      </c>
      <c r="H171" s="34">
        <v>1</v>
      </c>
      <c r="I171" s="34">
        <v>3</v>
      </c>
      <c r="J171" s="35">
        <f t="shared" si="57"/>
        <v>3</v>
      </c>
      <c r="K171" s="35">
        <v>1</v>
      </c>
      <c r="L171" s="41">
        <f t="shared" si="58"/>
        <v>3</v>
      </c>
      <c r="M171" s="42" t="s">
        <v>621</v>
      </c>
      <c r="N171" s="61" t="s">
        <v>673</v>
      </c>
      <c r="O171" s="61" t="s">
        <v>677</v>
      </c>
      <c r="P171" s="37"/>
      <c r="Q171" s="37" t="s">
        <v>679</v>
      </c>
      <c r="R171" s="60"/>
    </row>
    <row r="172" spans="1:18" s="7" customFormat="1" ht="60">
      <c r="A172" s="48"/>
      <c r="B172" s="45"/>
      <c r="C172" s="38"/>
      <c r="D172" s="31" t="s">
        <v>50</v>
      </c>
      <c r="E172" s="30" t="s">
        <v>72</v>
      </c>
      <c r="F172" s="38" t="str">
        <f t="shared" si="59"/>
        <v/>
      </c>
      <c r="G172" s="34">
        <v>1</v>
      </c>
      <c r="H172" s="34">
        <v>1</v>
      </c>
      <c r="I172" s="34">
        <v>3</v>
      </c>
      <c r="J172" s="35">
        <f t="shared" si="57"/>
        <v>3</v>
      </c>
      <c r="K172" s="35">
        <v>1</v>
      </c>
      <c r="L172" s="41">
        <f t="shared" si="58"/>
        <v>3</v>
      </c>
      <c r="M172" s="42" t="s">
        <v>612</v>
      </c>
      <c r="N172" s="61" t="s">
        <v>673</v>
      </c>
      <c r="O172" s="61" t="s">
        <v>683</v>
      </c>
      <c r="P172" s="37"/>
      <c r="Q172" s="37" t="s">
        <v>679</v>
      </c>
      <c r="R172" s="60"/>
    </row>
    <row r="173" spans="1:18" s="7" customFormat="1" ht="69.75" customHeight="1">
      <c r="A173" s="47">
        <v>21</v>
      </c>
      <c r="B173" s="44" t="s">
        <v>631</v>
      </c>
      <c r="C173" s="37" t="s">
        <v>434</v>
      </c>
      <c r="D173" s="31" t="s">
        <v>112</v>
      </c>
      <c r="E173" s="31" t="s">
        <v>655</v>
      </c>
      <c r="F173" s="37" t="s">
        <v>435</v>
      </c>
      <c r="G173" s="34">
        <v>5</v>
      </c>
      <c r="H173" s="34">
        <v>5</v>
      </c>
      <c r="I173" s="34">
        <v>5</v>
      </c>
      <c r="J173" s="35">
        <f>IF(MAX(G173:I173)=0,"",MAX(G173:I173))</f>
        <v>5</v>
      </c>
      <c r="K173" s="35">
        <v>1</v>
      </c>
      <c r="L173" s="34">
        <f>IFERROR(J173*K173,"")</f>
        <v>5</v>
      </c>
      <c r="M173" s="42" t="s">
        <v>571</v>
      </c>
      <c r="N173" s="61" t="s">
        <v>673</v>
      </c>
      <c r="O173" s="61" t="s">
        <v>685</v>
      </c>
      <c r="P173" s="37"/>
      <c r="Q173" s="37" t="s">
        <v>679</v>
      </c>
      <c r="R173" s="60"/>
    </row>
    <row r="174" spans="1:18" s="7" customFormat="1" ht="75">
      <c r="A174" s="48"/>
      <c r="B174" s="45"/>
      <c r="C174" s="38"/>
      <c r="D174" s="31" t="s">
        <v>36</v>
      </c>
      <c r="E174" s="31" t="s">
        <v>67</v>
      </c>
      <c r="F174" s="38" t="str">
        <f>IF($C174&lt;&gt;"",C174,"")</f>
        <v/>
      </c>
      <c r="G174" s="34">
        <v>1</v>
      </c>
      <c r="H174" s="34">
        <v>1</v>
      </c>
      <c r="I174" s="34">
        <v>3</v>
      </c>
      <c r="J174" s="35">
        <f t="shared" ref="J174:J176" si="60">IF(MAX(G174:I174)=0,"",MAX(G174:I174))</f>
        <v>3</v>
      </c>
      <c r="K174" s="35">
        <v>1</v>
      </c>
      <c r="L174" s="34">
        <f t="shared" ref="L174:L176" si="61">IFERROR(J174*K174,"")</f>
        <v>3</v>
      </c>
      <c r="M174" s="42" t="s">
        <v>618</v>
      </c>
      <c r="N174" s="61" t="s">
        <v>673</v>
      </c>
      <c r="O174" s="61" t="s">
        <v>672</v>
      </c>
      <c r="P174" s="37"/>
      <c r="Q174" s="37" t="s">
        <v>679</v>
      </c>
      <c r="R174" s="60"/>
    </row>
    <row r="175" spans="1:18" s="7" customFormat="1" ht="60">
      <c r="A175" s="48"/>
      <c r="B175" s="45"/>
      <c r="C175" s="38"/>
      <c r="D175" s="31" t="s">
        <v>10</v>
      </c>
      <c r="E175" s="31" t="s">
        <v>67</v>
      </c>
      <c r="F175" s="38" t="str">
        <f t="shared" ref="F175:F176" si="62">IF($C175&lt;&gt;"",C175,"")</f>
        <v/>
      </c>
      <c r="G175" s="34">
        <v>1</v>
      </c>
      <c r="H175" s="34">
        <v>1</v>
      </c>
      <c r="I175" s="34">
        <v>3</v>
      </c>
      <c r="J175" s="35">
        <f t="shared" si="60"/>
        <v>3</v>
      </c>
      <c r="K175" s="35">
        <v>1</v>
      </c>
      <c r="L175" s="41">
        <f t="shared" si="61"/>
        <v>3</v>
      </c>
      <c r="M175" s="42" t="s">
        <v>621</v>
      </c>
      <c r="N175" s="61" t="s">
        <v>673</v>
      </c>
      <c r="O175" s="61" t="s">
        <v>677</v>
      </c>
      <c r="P175" s="37"/>
      <c r="Q175" s="37" t="s">
        <v>679</v>
      </c>
      <c r="R175" s="60"/>
    </row>
    <row r="176" spans="1:18" s="7" customFormat="1" ht="60">
      <c r="A176" s="48"/>
      <c r="B176" s="45"/>
      <c r="C176" s="38"/>
      <c r="D176" s="31" t="s">
        <v>50</v>
      </c>
      <c r="E176" s="30" t="s">
        <v>72</v>
      </c>
      <c r="F176" s="38" t="str">
        <f t="shared" si="62"/>
        <v/>
      </c>
      <c r="G176" s="34">
        <v>1</v>
      </c>
      <c r="H176" s="34">
        <v>1</v>
      </c>
      <c r="I176" s="34">
        <v>3</v>
      </c>
      <c r="J176" s="35">
        <f t="shared" si="60"/>
        <v>3</v>
      </c>
      <c r="K176" s="35">
        <v>1</v>
      </c>
      <c r="L176" s="41">
        <f t="shared" si="61"/>
        <v>3</v>
      </c>
      <c r="M176" s="42" t="s">
        <v>612</v>
      </c>
      <c r="N176" s="61" t="s">
        <v>673</v>
      </c>
      <c r="O176" s="61" t="s">
        <v>683</v>
      </c>
      <c r="P176" s="37"/>
      <c r="Q176" s="37" t="s">
        <v>679</v>
      </c>
      <c r="R176" s="60"/>
    </row>
    <row r="177" spans="1:18" s="7" customFormat="1" ht="69.75" customHeight="1">
      <c r="A177" s="47">
        <v>22</v>
      </c>
      <c r="B177" s="44" t="s">
        <v>628</v>
      </c>
      <c r="C177" s="37" t="s">
        <v>434</v>
      </c>
      <c r="D177" s="31" t="s">
        <v>112</v>
      </c>
      <c r="E177" s="31" t="s">
        <v>656</v>
      </c>
      <c r="F177" s="37" t="s">
        <v>435</v>
      </c>
      <c r="G177" s="34">
        <v>1</v>
      </c>
      <c r="H177" s="34">
        <v>5</v>
      </c>
      <c r="I177" s="34">
        <v>5</v>
      </c>
      <c r="J177" s="35">
        <f>IF(MAX(G177:I177)=0,"",MAX(G177:I177))</f>
        <v>5</v>
      </c>
      <c r="K177" s="35">
        <v>1</v>
      </c>
      <c r="L177" s="34">
        <f>IFERROR(J177*K177,"")</f>
        <v>5</v>
      </c>
      <c r="M177" s="42" t="s">
        <v>571</v>
      </c>
      <c r="N177" s="61" t="s">
        <v>673</v>
      </c>
      <c r="O177" s="61" t="s">
        <v>685</v>
      </c>
      <c r="P177" s="37"/>
      <c r="Q177" s="37" t="s">
        <v>679</v>
      </c>
      <c r="R177" s="60"/>
    </row>
    <row r="178" spans="1:18" s="7" customFormat="1" ht="75">
      <c r="A178" s="48"/>
      <c r="B178" s="45"/>
      <c r="C178" s="38"/>
      <c r="D178" s="31" t="s">
        <v>36</v>
      </c>
      <c r="E178" s="31" t="s">
        <v>67</v>
      </c>
      <c r="F178" s="38" t="str">
        <f>IF($C178&lt;&gt;"",C178,"")</f>
        <v/>
      </c>
      <c r="G178" s="34">
        <v>1</v>
      </c>
      <c r="H178" s="34">
        <v>1</v>
      </c>
      <c r="I178" s="34">
        <v>3</v>
      </c>
      <c r="J178" s="35">
        <f t="shared" ref="J178:J180" si="63">IF(MAX(G178:I178)=0,"",MAX(G178:I178))</f>
        <v>3</v>
      </c>
      <c r="K178" s="35">
        <v>1</v>
      </c>
      <c r="L178" s="34">
        <f t="shared" ref="L178:L180" si="64">IFERROR(J178*K178,"")</f>
        <v>3</v>
      </c>
      <c r="M178" s="42" t="s">
        <v>618</v>
      </c>
      <c r="N178" s="61" t="s">
        <v>673</v>
      </c>
      <c r="O178" s="61" t="s">
        <v>672</v>
      </c>
      <c r="P178" s="37"/>
      <c r="Q178" s="37" t="s">
        <v>679</v>
      </c>
      <c r="R178" s="60"/>
    </row>
    <row r="179" spans="1:18" s="7" customFormat="1" ht="60">
      <c r="A179" s="48"/>
      <c r="B179" s="45"/>
      <c r="C179" s="38"/>
      <c r="D179" s="31" t="s">
        <v>10</v>
      </c>
      <c r="E179" s="31" t="s">
        <v>67</v>
      </c>
      <c r="F179" s="38" t="str">
        <f t="shared" ref="F179:F180" si="65">IF($C179&lt;&gt;"",C179,"")</f>
        <v/>
      </c>
      <c r="G179" s="34">
        <v>1</v>
      </c>
      <c r="H179" s="34">
        <v>1</v>
      </c>
      <c r="I179" s="34">
        <v>3</v>
      </c>
      <c r="J179" s="35">
        <f t="shared" si="63"/>
        <v>3</v>
      </c>
      <c r="K179" s="35">
        <v>1</v>
      </c>
      <c r="L179" s="41">
        <f t="shared" si="64"/>
        <v>3</v>
      </c>
      <c r="M179" s="42" t="s">
        <v>621</v>
      </c>
      <c r="N179" s="61" t="s">
        <v>673</v>
      </c>
      <c r="O179" s="61" t="s">
        <v>677</v>
      </c>
      <c r="P179" s="37"/>
      <c r="Q179" s="37" t="s">
        <v>679</v>
      </c>
      <c r="R179" s="60"/>
    </row>
    <row r="180" spans="1:18" s="7" customFormat="1" ht="60">
      <c r="A180" s="48"/>
      <c r="B180" s="45"/>
      <c r="C180" s="38"/>
      <c r="D180" s="31" t="s">
        <v>50</v>
      </c>
      <c r="E180" s="30" t="s">
        <v>72</v>
      </c>
      <c r="F180" s="38" t="str">
        <f t="shared" si="65"/>
        <v/>
      </c>
      <c r="G180" s="34">
        <v>1</v>
      </c>
      <c r="H180" s="34">
        <v>1</v>
      </c>
      <c r="I180" s="34">
        <v>3</v>
      </c>
      <c r="J180" s="35">
        <f t="shared" si="63"/>
        <v>3</v>
      </c>
      <c r="K180" s="35">
        <v>1</v>
      </c>
      <c r="L180" s="41">
        <f t="shared" si="64"/>
        <v>3</v>
      </c>
      <c r="M180" s="42" t="s">
        <v>612</v>
      </c>
      <c r="N180" s="61" t="s">
        <v>673</v>
      </c>
      <c r="O180" s="61" t="s">
        <v>683</v>
      </c>
      <c r="P180" s="37"/>
      <c r="Q180" s="37" t="s">
        <v>679</v>
      </c>
      <c r="R180" s="60"/>
    </row>
    <row r="181" spans="1:18" s="7" customFormat="1" ht="69.75" customHeight="1">
      <c r="A181" s="47">
        <v>23</v>
      </c>
      <c r="B181" s="44" t="s">
        <v>626</v>
      </c>
      <c r="C181" s="37" t="s">
        <v>434</v>
      </c>
      <c r="D181" s="31" t="s">
        <v>112</v>
      </c>
      <c r="E181" s="31" t="s">
        <v>656</v>
      </c>
      <c r="F181" s="37" t="s">
        <v>435</v>
      </c>
      <c r="G181" s="34">
        <v>1</v>
      </c>
      <c r="H181" s="34">
        <v>5</v>
      </c>
      <c r="I181" s="34">
        <v>5</v>
      </c>
      <c r="J181" s="35">
        <f>IF(MAX(G181:I181)=0,"",MAX(G181:I181))</f>
        <v>5</v>
      </c>
      <c r="K181" s="35">
        <v>1</v>
      </c>
      <c r="L181" s="34">
        <f>IFERROR(J181*K181,"")</f>
        <v>5</v>
      </c>
      <c r="M181" s="42" t="s">
        <v>571</v>
      </c>
      <c r="N181" s="61" t="s">
        <v>673</v>
      </c>
      <c r="O181" s="61" t="s">
        <v>685</v>
      </c>
      <c r="P181" s="37"/>
      <c r="Q181" s="37" t="s">
        <v>679</v>
      </c>
      <c r="R181" s="60"/>
    </row>
    <row r="182" spans="1:18" s="7" customFormat="1" ht="75">
      <c r="A182" s="48"/>
      <c r="B182" s="45"/>
      <c r="C182" s="38"/>
      <c r="D182" s="31" t="s">
        <v>36</v>
      </c>
      <c r="E182" s="31" t="s">
        <v>67</v>
      </c>
      <c r="F182" s="38" t="str">
        <f>IF($C182&lt;&gt;"",C182,"")</f>
        <v/>
      </c>
      <c r="G182" s="34">
        <v>1</v>
      </c>
      <c r="H182" s="34">
        <v>1</v>
      </c>
      <c r="I182" s="34">
        <v>3</v>
      </c>
      <c r="J182" s="35">
        <f t="shared" ref="J182:J184" si="66">IF(MAX(G182:I182)=0,"",MAX(G182:I182))</f>
        <v>3</v>
      </c>
      <c r="K182" s="35">
        <v>1</v>
      </c>
      <c r="L182" s="34">
        <f t="shared" ref="L182:L184" si="67">IFERROR(J182*K182,"")</f>
        <v>3</v>
      </c>
      <c r="M182" s="42" t="s">
        <v>618</v>
      </c>
      <c r="N182" s="61" t="s">
        <v>673</v>
      </c>
      <c r="O182" s="61" t="s">
        <v>672</v>
      </c>
      <c r="P182" s="37"/>
      <c r="Q182" s="37" t="s">
        <v>679</v>
      </c>
      <c r="R182" s="60"/>
    </row>
    <row r="183" spans="1:18" s="7" customFormat="1" ht="60">
      <c r="A183" s="48"/>
      <c r="B183" s="45"/>
      <c r="C183" s="38"/>
      <c r="D183" s="31" t="s">
        <v>10</v>
      </c>
      <c r="E183" s="31" t="s">
        <v>67</v>
      </c>
      <c r="F183" s="38" t="str">
        <f t="shared" ref="F183:F184" si="68">IF($C183&lt;&gt;"",C183,"")</f>
        <v/>
      </c>
      <c r="G183" s="34">
        <v>1</v>
      </c>
      <c r="H183" s="34">
        <v>1</v>
      </c>
      <c r="I183" s="34">
        <v>3</v>
      </c>
      <c r="J183" s="35">
        <f t="shared" si="66"/>
        <v>3</v>
      </c>
      <c r="K183" s="35">
        <v>1</v>
      </c>
      <c r="L183" s="41">
        <f t="shared" si="67"/>
        <v>3</v>
      </c>
      <c r="M183" s="42" t="s">
        <v>621</v>
      </c>
      <c r="N183" s="61" t="s">
        <v>673</v>
      </c>
      <c r="O183" s="61" t="s">
        <v>677</v>
      </c>
      <c r="P183" s="37"/>
      <c r="Q183" s="37" t="s">
        <v>679</v>
      </c>
      <c r="R183" s="60"/>
    </row>
    <row r="184" spans="1:18" s="7" customFormat="1" ht="60">
      <c r="A184" s="48"/>
      <c r="B184" s="45"/>
      <c r="C184" s="38"/>
      <c r="D184" s="31" t="s">
        <v>50</v>
      </c>
      <c r="E184" s="30" t="s">
        <v>72</v>
      </c>
      <c r="F184" s="38" t="str">
        <f t="shared" si="68"/>
        <v/>
      </c>
      <c r="G184" s="34">
        <v>1</v>
      </c>
      <c r="H184" s="34">
        <v>1</v>
      </c>
      <c r="I184" s="34">
        <v>3</v>
      </c>
      <c r="J184" s="35">
        <f t="shared" si="66"/>
        <v>3</v>
      </c>
      <c r="K184" s="35">
        <v>1</v>
      </c>
      <c r="L184" s="41">
        <f t="shared" si="67"/>
        <v>3</v>
      </c>
      <c r="M184" s="42" t="s">
        <v>612</v>
      </c>
      <c r="N184" s="61" t="s">
        <v>673</v>
      </c>
      <c r="O184" s="61" t="s">
        <v>683</v>
      </c>
      <c r="P184" s="37"/>
      <c r="Q184" s="37" t="s">
        <v>679</v>
      </c>
      <c r="R184" s="60"/>
    </row>
    <row r="185" spans="1:18" s="7" customFormat="1" ht="69.75" customHeight="1">
      <c r="A185" s="47">
        <v>24</v>
      </c>
      <c r="B185" s="44" t="s">
        <v>632</v>
      </c>
      <c r="C185" s="37" t="s">
        <v>434</v>
      </c>
      <c r="D185" s="31" t="s">
        <v>112</v>
      </c>
      <c r="E185" s="31" t="s">
        <v>656</v>
      </c>
      <c r="F185" s="37" t="s">
        <v>435</v>
      </c>
      <c r="G185" s="34">
        <v>1</v>
      </c>
      <c r="H185" s="34">
        <v>5</v>
      </c>
      <c r="I185" s="34">
        <v>5</v>
      </c>
      <c r="J185" s="35">
        <f>IF(MAX(G185:I185)=0,"",MAX(G185:I185))</f>
        <v>5</v>
      </c>
      <c r="K185" s="35">
        <v>1</v>
      </c>
      <c r="L185" s="34">
        <f>IFERROR(J185*K185,"")</f>
        <v>5</v>
      </c>
      <c r="M185" s="42" t="s">
        <v>571</v>
      </c>
      <c r="N185" s="61" t="s">
        <v>673</v>
      </c>
      <c r="O185" s="61" t="s">
        <v>685</v>
      </c>
      <c r="P185" s="37"/>
      <c r="Q185" s="37" t="s">
        <v>679</v>
      </c>
      <c r="R185" s="60"/>
    </row>
    <row r="186" spans="1:18" s="7" customFormat="1" ht="75">
      <c r="A186" s="48"/>
      <c r="B186" s="45"/>
      <c r="C186" s="38"/>
      <c r="D186" s="31" t="s">
        <v>36</v>
      </c>
      <c r="E186" s="31" t="s">
        <v>67</v>
      </c>
      <c r="F186" s="38" t="str">
        <f>IF($C186&lt;&gt;"",C186,"")</f>
        <v/>
      </c>
      <c r="G186" s="34">
        <v>1</v>
      </c>
      <c r="H186" s="34">
        <v>1</v>
      </c>
      <c r="I186" s="34">
        <v>3</v>
      </c>
      <c r="J186" s="35">
        <f t="shared" ref="J186:J188" si="69">IF(MAX(G186:I186)=0,"",MAX(G186:I186))</f>
        <v>3</v>
      </c>
      <c r="K186" s="35">
        <v>1</v>
      </c>
      <c r="L186" s="34">
        <f t="shared" ref="L186:L188" si="70">IFERROR(J186*K186,"")</f>
        <v>3</v>
      </c>
      <c r="M186" s="42" t="s">
        <v>618</v>
      </c>
      <c r="N186" s="61" t="s">
        <v>673</v>
      </c>
      <c r="O186" s="61" t="s">
        <v>672</v>
      </c>
      <c r="P186" s="37"/>
      <c r="Q186" s="37" t="s">
        <v>679</v>
      </c>
      <c r="R186" s="60"/>
    </row>
    <row r="187" spans="1:18" s="7" customFormat="1" ht="60">
      <c r="A187" s="48"/>
      <c r="B187" s="45"/>
      <c r="C187" s="38"/>
      <c r="D187" s="31" t="s">
        <v>10</v>
      </c>
      <c r="E187" s="31" t="s">
        <v>67</v>
      </c>
      <c r="F187" s="38" t="str">
        <f t="shared" ref="F187:F188" si="71">IF($C187&lt;&gt;"",C187,"")</f>
        <v/>
      </c>
      <c r="G187" s="34">
        <v>1</v>
      </c>
      <c r="H187" s="34">
        <v>1</v>
      </c>
      <c r="I187" s="34">
        <v>3</v>
      </c>
      <c r="J187" s="35">
        <f t="shared" si="69"/>
        <v>3</v>
      </c>
      <c r="K187" s="35">
        <v>1</v>
      </c>
      <c r="L187" s="41">
        <f t="shared" si="70"/>
        <v>3</v>
      </c>
      <c r="M187" s="42" t="s">
        <v>621</v>
      </c>
      <c r="N187" s="61" t="s">
        <v>673</v>
      </c>
      <c r="O187" s="61" t="s">
        <v>677</v>
      </c>
      <c r="P187" s="37"/>
      <c r="Q187" s="37" t="s">
        <v>679</v>
      </c>
      <c r="R187" s="60"/>
    </row>
    <row r="188" spans="1:18" s="7" customFormat="1" ht="60">
      <c r="A188" s="48"/>
      <c r="B188" s="45"/>
      <c r="C188" s="38"/>
      <c r="D188" s="31" t="s">
        <v>50</v>
      </c>
      <c r="E188" s="30" t="s">
        <v>72</v>
      </c>
      <c r="F188" s="38" t="str">
        <f t="shared" si="71"/>
        <v/>
      </c>
      <c r="G188" s="34">
        <v>1</v>
      </c>
      <c r="H188" s="34">
        <v>1</v>
      </c>
      <c r="I188" s="34">
        <v>3</v>
      </c>
      <c r="J188" s="35">
        <f t="shared" si="69"/>
        <v>3</v>
      </c>
      <c r="K188" s="35">
        <v>1</v>
      </c>
      <c r="L188" s="41">
        <f t="shared" si="70"/>
        <v>3</v>
      </c>
      <c r="M188" s="42" t="s">
        <v>612</v>
      </c>
      <c r="N188" s="61" t="s">
        <v>673</v>
      </c>
      <c r="O188" s="61" t="s">
        <v>683</v>
      </c>
      <c r="P188" s="37"/>
      <c r="Q188" s="37" t="s">
        <v>679</v>
      </c>
      <c r="R188" s="60"/>
    </row>
    <row r="189" spans="1:18" s="7" customFormat="1" ht="69.75" customHeight="1">
      <c r="A189" s="47">
        <v>25</v>
      </c>
      <c r="B189" s="44" t="s">
        <v>629</v>
      </c>
      <c r="C189" s="37" t="s">
        <v>434</v>
      </c>
      <c r="D189" s="31" t="s">
        <v>112</v>
      </c>
      <c r="E189" s="31" t="s">
        <v>657</v>
      </c>
      <c r="F189" s="37" t="s">
        <v>435</v>
      </c>
      <c r="G189" s="34">
        <v>1</v>
      </c>
      <c r="H189" s="34">
        <v>5</v>
      </c>
      <c r="I189" s="34">
        <v>5</v>
      </c>
      <c r="J189" s="35">
        <f>IF(MAX(G189:I189)=0,"",MAX(G189:I189))</f>
        <v>5</v>
      </c>
      <c r="K189" s="35">
        <v>1</v>
      </c>
      <c r="L189" s="34">
        <f>IFERROR(J189*K189,"")</f>
        <v>5</v>
      </c>
      <c r="M189" s="42" t="s">
        <v>571</v>
      </c>
      <c r="N189" s="61" t="s">
        <v>673</v>
      </c>
      <c r="O189" s="61" t="s">
        <v>685</v>
      </c>
      <c r="P189" s="37"/>
      <c r="Q189" s="37" t="s">
        <v>679</v>
      </c>
      <c r="R189" s="60"/>
    </row>
    <row r="190" spans="1:18" s="7" customFormat="1" ht="75">
      <c r="A190" s="48"/>
      <c r="B190" s="45"/>
      <c r="C190" s="38"/>
      <c r="D190" s="31" t="s">
        <v>36</v>
      </c>
      <c r="E190" s="31" t="s">
        <v>67</v>
      </c>
      <c r="F190" s="38" t="str">
        <f>IF($C190&lt;&gt;"",C190,"")</f>
        <v/>
      </c>
      <c r="G190" s="34">
        <v>1</v>
      </c>
      <c r="H190" s="34">
        <v>1</v>
      </c>
      <c r="I190" s="34">
        <v>3</v>
      </c>
      <c r="J190" s="35">
        <f t="shared" ref="J190:J192" si="72">IF(MAX(G190:I190)=0,"",MAX(G190:I190))</f>
        <v>3</v>
      </c>
      <c r="K190" s="35">
        <v>1</v>
      </c>
      <c r="L190" s="34">
        <f t="shared" ref="L190:L192" si="73">IFERROR(J190*K190,"")</f>
        <v>3</v>
      </c>
      <c r="M190" s="42" t="s">
        <v>618</v>
      </c>
      <c r="N190" s="61" t="s">
        <v>673</v>
      </c>
      <c r="O190" s="61" t="s">
        <v>672</v>
      </c>
      <c r="P190" s="37"/>
      <c r="Q190" s="37" t="s">
        <v>679</v>
      </c>
      <c r="R190" s="60"/>
    </row>
    <row r="191" spans="1:18" s="7" customFormat="1" ht="60">
      <c r="A191" s="48"/>
      <c r="B191" s="45"/>
      <c r="C191" s="38"/>
      <c r="D191" s="31" t="s">
        <v>10</v>
      </c>
      <c r="E191" s="31" t="s">
        <v>67</v>
      </c>
      <c r="F191" s="38" t="str">
        <f t="shared" ref="F191:F192" si="74">IF($C191&lt;&gt;"",C191,"")</f>
        <v/>
      </c>
      <c r="G191" s="34">
        <v>1</v>
      </c>
      <c r="H191" s="34">
        <v>1</v>
      </c>
      <c r="I191" s="34">
        <v>3</v>
      </c>
      <c r="J191" s="35">
        <f t="shared" si="72"/>
        <v>3</v>
      </c>
      <c r="K191" s="35">
        <v>1</v>
      </c>
      <c r="L191" s="41">
        <f t="shared" si="73"/>
        <v>3</v>
      </c>
      <c r="M191" s="42" t="s">
        <v>621</v>
      </c>
      <c r="N191" s="61" t="s">
        <v>673</v>
      </c>
      <c r="O191" s="61" t="s">
        <v>677</v>
      </c>
      <c r="P191" s="37"/>
      <c r="Q191" s="37" t="s">
        <v>679</v>
      </c>
      <c r="R191" s="60"/>
    </row>
    <row r="192" spans="1:18" s="7" customFormat="1" ht="60">
      <c r="A192" s="48"/>
      <c r="B192" s="45"/>
      <c r="C192" s="38"/>
      <c r="D192" s="31" t="s">
        <v>50</v>
      </c>
      <c r="E192" s="30" t="s">
        <v>72</v>
      </c>
      <c r="F192" s="38" t="str">
        <f t="shared" si="74"/>
        <v/>
      </c>
      <c r="G192" s="34">
        <v>1</v>
      </c>
      <c r="H192" s="34">
        <v>1</v>
      </c>
      <c r="I192" s="34">
        <v>3</v>
      </c>
      <c r="J192" s="35">
        <f t="shared" si="72"/>
        <v>3</v>
      </c>
      <c r="K192" s="35">
        <v>1</v>
      </c>
      <c r="L192" s="41">
        <f t="shared" si="73"/>
        <v>3</v>
      </c>
      <c r="M192" s="42" t="s">
        <v>612</v>
      </c>
      <c r="N192" s="61" t="s">
        <v>673</v>
      </c>
      <c r="O192" s="61" t="s">
        <v>683</v>
      </c>
      <c r="P192" s="31"/>
      <c r="Q192" s="31" t="s">
        <v>679</v>
      </c>
      <c r="R192" s="60"/>
    </row>
    <row r="193" spans="1:18" s="7" customFormat="1" ht="94.5" customHeight="1">
      <c r="A193" s="47">
        <v>26</v>
      </c>
      <c r="B193" s="44" t="s">
        <v>705</v>
      </c>
      <c r="C193" s="37" t="s">
        <v>592</v>
      </c>
      <c r="D193" s="31" t="s">
        <v>460</v>
      </c>
      <c r="E193" s="31" t="s">
        <v>73</v>
      </c>
      <c r="F193" s="37" t="s">
        <v>592</v>
      </c>
      <c r="G193" s="34">
        <v>4</v>
      </c>
      <c r="H193" s="34">
        <v>2</v>
      </c>
      <c r="I193" s="34">
        <v>5</v>
      </c>
      <c r="J193" s="35">
        <f>IF(MAX(G193:I193)=0,"",MAX(G193:I193))</f>
        <v>5</v>
      </c>
      <c r="K193" s="35">
        <v>1</v>
      </c>
      <c r="L193" s="34">
        <f>IFERROR(J193*K193,"")</f>
        <v>5</v>
      </c>
      <c r="M193" s="42" t="s">
        <v>720</v>
      </c>
      <c r="N193" s="61" t="s">
        <v>673</v>
      </c>
      <c r="O193" s="61" t="s">
        <v>719</v>
      </c>
      <c r="P193" s="37"/>
      <c r="Q193" s="37" t="s">
        <v>679</v>
      </c>
      <c r="R193" s="60"/>
    </row>
    <row r="194" spans="1:18" s="7" customFormat="1" ht="120">
      <c r="A194" s="48"/>
      <c r="B194" s="45"/>
      <c r="C194" s="38"/>
      <c r="D194" s="31" t="s">
        <v>51</v>
      </c>
      <c r="E194" s="31" t="s">
        <v>657</v>
      </c>
      <c r="F194" s="38" t="str">
        <f>IF($C194&lt;&gt;"",C194,"")</f>
        <v/>
      </c>
      <c r="G194" s="34">
        <v>5</v>
      </c>
      <c r="H194" s="34">
        <v>1</v>
      </c>
      <c r="I194" s="34">
        <v>5</v>
      </c>
      <c r="J194" s="35">
        <f t="shared" ref="J194:J196" si="75">IF(MAX(G194:I194)=0,"",MAX(G194:I194))</f>
        <v>5</v>
      </c>
      <c r="K194" s="35">
        <v>1</v>
      </c>
      <c r="L194" s="34">
        <f t="shared" ref="L194:L196" si="76">IFERROR(J194*K194,"")</f>
        <v>5</v>
      </c>
      <c r="M194" s="42" t="s">
        <v>721</v>
      </c>
      <c r="N194" s="61" t="s">
        <v>673</v>
      </c>
      <c r="O194" s="61" t="s">
        <v>685</v>
      </c>
      <c r="P194" s="37"/>
      <c r="Q194" s="37" t="s">
        <v>679</v>
      </c>
      <c r="R194" s="60"/>
    </row>
    <row r="195" spans="1:18" s="7" customFormat="1" ht="45">
      <c r="A195" s="48"/>
      <c r="B195" s="45"/>
      <c r="C195" s="38"/>
      <c r="D195" s="31" t="s">
        <v>26</v>
      </c>
      <c r="E195" s="31" t="s">
        <v>73</v>
      </c>
      <c r="F195" s="38" t="str">
        <f t="shared" ref="F195:F196" si="77">IF($C195&lt;&gt;"",C195,"")</f>
        <v/>
      </c>
      <c r="G195" s="34">
        <v>1</v>
      </c>
      <c r="H195" s="34">
        <v>5</v>
      </c>
      <c r="I195" s="34">
        <v>1</v>
      </c>
      <c r="J195" s="35">
        <f t="shared" si="75"/>
        <v>5</v>
      </c>
      <c r="K195" s="35">
        <v>1</v>
      </c>
      <c r="L195" s="41">
        <f t="shared" si="76"/>
        <v>5</v>
      </c>
      <c r="M195" s="42" t="s">
        <v>722</v>
      </c>
      <c r="N195" s="61" t="s">
        <v>673</v>
      </c>
      <c r="O195" s="61" t="s">
        <v>723</v>
      </c>
      <c r="P195" s="37"/>
      <c r="Q195" s="37" t="s">
        <v>679</v>
      </c>
      <c r="R195" s="60"/>
    </row>
    <row r="196" spans="1:18" s="7" customFormat="1" ht="75">
      <c r="A196" s="49"/>
      <c r="B196" s="46"/>
      <c r="C196" s="39"/>
      <c r="D196" s="31" t="s">
        <v>455</v>
      </c>
      <c r="E196" s="31" t="s">
        <v>73</v>
      </c>
      <c r="F196" s="39" t="str">
        <f t="shared" si="77"/>
        <v/>
      </c>
      <c r="G196" s="34">
        <v>5</v>
      </c>
      <c r="H196" s="34">
        <v>3</v>
      </c>
      <c r="I196" s="34">
        <v>1</v>
      </c>
      <c r="J196" s="35">
        <f t="shared" si="75"/>
        <v>5</v>
      </c>
      <c r="K196" s="35">
        <v>1</v>
      </c>
      <c r="L196" s="41">
        <f t="shared" si="76"/>
        <v>5</v>
      </c>
      <c r="M196" s="42" t="s">
        <v>612</v>
      </c>
      <c r="N196" s="61" t="s">
        <v>673</v>
      </c>
      <c r="O196" s="61" t="s">
        <v>719</v>
      </c>
      <c r="P196" s="31"/>
      <c r="Q196" s="31" t="s">
        <v>679</v>
      </c>
      <c r="R196" s="60"/>
    </row>
    <row r="197" spans="1:18" s="7" customFormat="1" ht="94.5" customHeight="1">
      <c r="A197" s="47">
        <v>27</v>
      </c>
      <c r="B197" s="44" t="s">
        <v>707</v>
      </c>
      <c r="C197" s="37" t="s">
        <v>592</v>
      </c>
      <c r="D197" s="31" t="s">
        <v>460</v>
      </c>
      <c r="E197" s="31" t="s">
        <v>73</v>
      </c>
      <c r="F197" s="37" t="s">
        <v>592</v>
      </c>
      <c r="G197" s="34">
        <v>1</v>
      </c>
      <c r="H197" s="34">
        <v>1</v>
      </c>
      <c r="I197" s="34">
        <v>5</v>
      </c>
      <c r="J197" s="35">
        <f>IF(MAX(G197:I197)=0,"",MAX(G197:I197))</f>
        <v>5</v>
      </c>
      <c r="K197" s="35">
        <v>1</v>
      </c>
      <c r="L197" s="34">
        <f>IFERROR(J197*K197,"")</f>
        <v>5</v>
      </c>
      <c r="M197" s="42" t="s">
        <v>720</v>
      </c>
      <c r="N197" s="61" t="s">
        <v>673</v>
      </c>
      <c r="O197" s="61" t="s">
        <v>719</v>
      </c>
      <c r="P197" s="37"/>
      <c r="Q197" s="37" t="s">
        <v>679</v>
      </c>
      <c r="R197" s="60"/>
    </row>
    <row r="198" spans="1:18" s="7" customFormat="1" ht="120">
      <c r="A198" s="48"/>
      <c r="B198" s="45"/>
      <c r="C198" s="38"/>
      <c r="D198" s="31" t="s">
        <v>47</v>
      </c>
      <c r="E198" s="31" t="s">
        <v>657</v>
      </c>
      <c r="F198" s="38" t="str">
        <f>IF($C198&lt;&gt;"",C198,"")</f>
        <v/>
      </c>
      <c r="G198" s="34">
        <v>5</v>
      </c>
      <c r="H198" s="34">
        <v>1</v>
      </c>
      <c r="I198" s="34">
        <v>1</v>
      </c>
      <c r="J198" s="35">
        <f t="shared" ref="J198:J200" si="78">IF(MAX(G198:I198)=0,"",MAX(G198:I198))</f>
        <v>5</v>
      </c>
      <c r="K198" s="35">
        <v>1</v>
      </c>
      <c r="L198" s="34">
        <f t="shared" ref="L198:L200" si="79">IFERROR(J198*K198,"")</f>
        <v>5</v>
      </c>
      <c r="M198" s="42" t="s">
        <v>721</v>
      </c>
      <c r="N198" s="61" t="s">
        <v>673</v>
      </c>
      <c r="O198" s="61" t="s">
        <v>682</v>
      </c>
      <c r="P198" s="37"/>
      <c r="Q198" s="37" t="s">
        <v>679</v>
      </c>
      <c r="R198" s="60"/>
    </row>
    <row r="199" spans="1:18" s="7" customFormat="1" ht="45">
      <c r="A199" s="48"/>
      <c r="B199" s="45"/>
      <c r="C199" s="38"/>
      <c r="D199" s="31" t="s">
        <v>26</v>
      </c>
      <c r="E199" s="31" t="s">
        <v>73</v>
      </c>
      <c r="F199" s="38" t="str">
        <f t="shared" ref="F199:F200" si="80">IF($C199&lt;&gt;"",C199,"")</f>
        <v/>
      </c>
      <c r="G199" s="34">
        <v>1</v>
      </c>
      <c r="H199" s="34">
        <v>5</v>
      </c>
      <c r="I199" s="34">
        <v>1</v>
      </c>
      <c r="J199" s="35">
        <f t="shared" si="78"/>
        <v>5</v>
      </c>
      <c r="K199" s="35">
        <v>1</v>
      </c>
      <c r="L199" s="41">
        <f t="shared" si="79"/>
        <v>5</v>
      </c>
      <c r="M199" s="42" t="s">
        <v>722</v>
      </c>
      <c r="N199" s="61" t="s">
        <v>673</v>
      </c>
      <c r="O199" s="61" t="s">
        <v>723</v>
      </c>
      <c r="P199" s="37"/>
      <c r="Q199" s="37" t="s">
        <v>679</v>
      </c>
      <c r="R199" s="60"/>
    </row>
    <row r="200" spans="1:18" s="7" customFormat="1" ht="75">
      <c r="A200" s="49"/>
      <c r="B200" s="46"/>
      <c r="C200" s="39"/>
      <c r="D200" s="31" t="s">
        <v>455</v>
      </c>
      <c r="E200" s="31" t="s">
        <v>73</v>
      </c>
      <c r="F200" s="39" t="str">
        <f t="shared" si="80"/>
        <v/>
      </c>
      <c r="G200" s="34">
        <v>5</v>
      </c>
      <c r="H200" s="34">
        <v>3</v>
      </c>
      <c r="I200" s="34">
        <v>1</v>
      </c>
      <c r="J200" s="35">
        <f t="shared" si="78"/>
        <v>5</v>
      </c>
      <c r="K200" s="35">
        <v>1</v>
      </c>
      <c r="L200" s="41">
        <f t="shared" si="79"/>
        <v>5</v>
      </c>
      <c r="M200" s="42" t="s">
        <v>612</v>
      </c>
      <c r="N200" s="61" t="s">
        <v>673</v>
      </c>
      <c r="O200" s="61" t="s">
        <v>682</v>
      </c>
      <c r="P200" s="31"/>
      <c r="Q200" s="31" t="s">
        <v>679</v>
      </c>
      <c r="R200" s="60"/>
    </row>
    <row r="201" spans="1:18" s="7" customFormat="1" ht="94.5" customHeight="1">
      <c r="A201" s="47">
        <v>28</v>
      </c>
      <c r="B201" s="44" t="s">
        <v>709</v>
      </c>
      <c r="C201" s="37" t="s">
        <v>592</v>
      </c>
      <c r="D201" s="31" t="s">
        <v>10</v>
      </c>
      <c r="E201" s="31" t="s">
        <v>73</v>
      </c>
      <c r="F201" s="37" t="s">
        <v>592</v>
      </c>
      <c r="G201" s="34">
        <v>1</v>
      </c>
      <c r="H201" s="34">
        <v>5</v>
      </c>
      <c r="I201" s="34">
        <v>5</v>
      </c>
      <c r="J201" s="35">
        <f>IF(MAX(G201:I201)=0,"",MAX(G201:I201))</f>
        <v>5</v>
      </c>
      <c r="K201" s="35">
        <v>1</v>
      </c>
      <c r="L201" s="34">
        <f>IFERROR(J201*K201,"")</f>
        <v>5</v>
      </c>
      <c r="M201" s="42" t="s">
        <v>720</v>
      </c>
      <c r="N201" s="61" t="s">
        <v>673</v>
      </c>
      <c r="O201" s="61" t="s">
        <v>719</v>
      </c>
      <c r="P201" s="37"/>
      <c r="Q201" s="37" t="s">
        <v>679</v>
      </c>
      <c r="R201" s="60"/>
    </row>
    <row r="202" spans="1:18" s="7" customFormat="1" ht="120">
      <c r="A202" s="48"/>
      <c r="B202" s="45"/>
      <c r="C202" s="38"/>
      <c r="D202" s="31" t="s">
        <v>47</v>
      </c>
      <c r="E202" s="31" t="s">
        <v>657</v>
      </c>
      <c r="F202" s="38" t="str">
        <f>IF($C202&lt;&gt;"",C202,"")</f>
        <v/>
      </c>
      <c r="G202" s="34">
        <v>5</v>
      </c>
      <c r="H202" s="34">
        <v>1</v>
      </c>
      <c r="I202" s="34">
        <v>1</v>
      </c>
      <c r="J202" s="35">
        <f t="shared" ref="J202:J204" si="81">IF(MAX(G202:I202)=0,"",MAX(G202:I202))</f>
        <v>5</v>
      </c>
      <c r="K202" s="35">
        <v>1</v>
      </c>
      <c r="L202" s="34">
        <f t="shared" ref="L202:L204" si="82">IFERROR(J202*K202,"")</f>
        <v>5</v>
      </c>
      <c r="M202" s="42" t="s">
        <v>721</v>
      </c>
      <c r="N202" s="61" t="s">
        <v>673</v>
      </c>
      <c r="O202" s="61" t="s">
        <v>682</v>
      </c>
      <c r="P202" s="37"/>
      <c r="Q202" s="37" t="s">
        <v>679</v>
      </c>
      <c r="R202" s="60"/>
    </row>
    <row r="203" spans="1:18" s="7" customFormat="1" ht="45">
      <c r="A203" s="48"/>
      <c r="B203" s="45"/>
      <c r="C203" s="38"/>
      <c r="D203" s="31" t="s">
        <v>112</v>
      </c>
      <c r="E203" s="31" t="s">
        <v>73</v>
      </c>
      <c r="F203" s="38" t="str">
        <f t="shared" ref="F203:F204" si="83">IF($C203&lt;&gt;"",C203,"")</f>
        <v/>
      </c>
      <c r="G203" s="34">
        <v>1</v>
      </c>
      <c r="H203" s="34">
        <v>5</v>
      </c>
      <c r="I203" s="34">
        <v>1</v>
      </c>
      <c r="J203" s="35">
        <f t="shared" si="81"/>
        <v>5</v>
      </c>
      <c r="K203" s="35">
        <v>1</v>
      </c>
      <c r="L203" s="41">
        <f t="shared" si="82"/>
        <v>5</v>
      </c>
      <c r="M203" s="42" t="s">
        <v>722</v>
      </c>
      <c r="N203" s="61" t="s">
        <v>673</v>
      </c>
      <c r="O203" s="61" t="s">
        <v>682</v>
      </c>
      <c r="P203" s="37"/>
      <c r="Q203" s="37" t="s">
        <v>679</v>
      </c>
      <c r="R203" s="60"/>
    </row>
    <row r="204" spans="1:18" s="7" customFormat="1" ht="75">
      <c r="A204" s="49"/>
      <c r="B204" s="46"/>
      <c r="C204" s="39"/>
      <c r="D204" s="31" t="s">
        <v>455</v>
      </c>
      <c r="E204" s="31" t="s">
        <v>73</v>
      </c>
      <c r="F204" s="39" t="str">
        <f t="shared" si="83"/>
        <v/>
      </c>
      <c r="G204" s="34">
        <v>5</v>
      </c>
      <c r="H204" s="34">
        <v>3</v>
      </c>
      <c r="I204" s="34">
        <v>1</v>
      </c>
      <c r="J204" s="35">
        <f t="shared" si="81"/>
        <v>5</v>
      </c>
      <c r="K204" s="35">
        <v>1</v>
      </c>
      <c r="L204" s="41">
        <f t="shared" si="82"/>
        <v>5</v>
      </c>
      <c r="M204" s="42" t="s">
        <v>612</v>
      </c>
      <c r="N204" s="61" t="s">
        <v>673</v>
      </c>
      <c r="O204" s="61" t="s">
        <v>682</v>
      </c>
      <c r="P204" s="31"/>
      <c r="Q204" s="31" t="s">
        <v>679</v>
      </c>
      <c r="R204" s="60"/>
    </row>
    <row r="205" spans="1:18" s="7" customFormat="1" ht="94.5" customHeight="1">
      <c r="A205" s="47">
        <v>29</v>
      </c>
      <c r="B205" s="44" t="s">
        <v>711</v>
      </c>
      <c r="C205" s="37" t="s">
        <v>434</v>
      </c>
      <c r="D205" s="31" t="s">
        <v>10</v>
      </c>
      <c r="E205" s="31" t="s">
        <v>73</v>
      </c>
      <c r="F205" s="37" t="s">
        <v>434</v>
      </c>
      <c r="G205" s="34">
        <v>1</v>
      </c>
      <c r="H205" s="34">
        <v>5</v>
      </c>
      <c r="I205" s="34">
        <v>5</v>
      </c>
      <c r="J205" s="35">
        <f>IF(MAX(G205:I205)=0,"",MAX(G205:I205))</f>
        <v>5</v>
      </c>
      <c r="K205" s="35">
        <v>1</v>
      </c>
      <c r="L205" s="34">
        <f>IFERROR(J205*K205,"")</f>
        <v>5</v>
      </c>
      <c r="M205" s="42" t="s">
        <v>724</v>
      </c>
      <c r="N205" s="61" t="s">
        <v>673</v>
      </c>
      <c r="O205" s="61" t="s">
        <v>725</v>
      </c>
      <c r="P205" s="37"/>
      <c r="Q205" s="37" t="s">
        <v>679</v>
      </c>
      <c r="R205" s="60"/>
    </row>
    <row r="206" spans="1:18" s="7" customFormat="1" ht="45">
      <c r="A206" s="48"/>
      <c r="B206" s="45"/>
      <c r="C206" s="38"/>
      <c r="D206" s="31" t="s">
        <v>47</v>
      </c>
      <c r="E206" s="31" t="s">
        <v>72</v>
      </c>
      <c r="F206" s="38" t="str">
        <f>IF($C206&lt;&gt;"",C206,"")</f>
        <v/>
      </c>
      <c r="G206" s="34">
        <v>5</v>
      </c>
      <c r="H206" s="34">
        <v>1</v>
      </c>
      <c r="I206" s="34">
        <v>1</v>
      </c>
      <c r="J206" s="35">
        <f t="shared" ref="J206:J208" si="84">IF(MAX(G206:I206)=0,"",MAX(G206:I206))</f>
        <v>5</v>
      </c>
      <c r="K206" s="35">
        <v>1</v>
      </c>
      <c r="L206" s="34">
        <f t="shared" ref="L206:L208" si="85">IFERROR(J206*K206,"")</f>
        <v>5</v>
      </c>
      <c r="M206" s="42" t="s">
        <v>727</v>
      </c>
      <c r="N206" s="61" t="s">
        <v>673</v>
      </c>
      <c r="O206" s="61" t="s">
        <v>682</v>
      </c>
      <c r="P206" s="37"/>
      <c r="Q206" s="37" t="s">
        <v>679</v>
      </c>
      <c r="R206" s="60"/>
    </row>
    <row r="207" spans="1:18" s="7" customFormat="1" ht="45">
      <c r="A207" s="48"/>
      <c r="B207" s="45"/>
      <c r="C207" s="38"/>
      <c r="D207" s="31" t="s">
        <v>112</v>
      </c>
      <c r="E207" s="31" t="s">
        <v>75</v>
      </c>
      <c r="F207" s="38" t="str">
        <f t="shared" ref="F207:F208" si="86">IF($C207&lt;&gt;"",C207,"")</f>
        <v/>
      </c>
      <c r="G207" s="34">
        <v>1</v>
      </c>
      <c r="H207" s="34">
        <v>5</v>
      </c>
      <c r="I207" s="34">
        <v>1</v>
      </c>
      <c r="J207" s="35">
        <f t="shared" si="84"/>
        <v>5</v>
      </c>
      <c r="K207" s="35">
        <v>1</v>
      </c>
      <c r="L207" s="41">
        <f t="shared" si="85"/>
        <v>5</v>
      </c>
      <c r="M207" s="42" t="s">
        <v>727</v>
      </c>
      <c r="N207" s="61" t="s">
        <v>673</v>
      </c>
      <c r="O207" s="61" t="s">
        <v>682</v>
      </c>
      <c r="P207" s="37"/>
      <c r="Q207" s="37" t="s">
        <v>679</v>
      </c>
      <c r="R207" s="60"/>
    </row>
    <row r="208" spans="1:18" s="7" customFormat="1" ht="75">
      <c r="A208" s="49"/>
      <c r="B208" s="46"/>
      <c r="C208" s="39"/>
      <c r="D208" s="31" t="s">
        <v>455</v>
      </c>
      <c r="E208" s="31" t="s">
        <v>72</v>
      </c>
      <c r="F208" s="39" t="str">
        <f t="shared" si="86"/>
        <v/>
      </c>
      <c r="G208" s="34">
        <v>5</v>
      </c>
      <c r="H208" s="34">
        <v>3</v>
      </c>
      <c r="I208" s="34">
        <v>1</v>
      </c>
      <c r="J208" s="35">
        <f t="shared" si="84"/>
        <v>5</v>
      </c>
      <c r="K208" s="35">
        <v>1</v>
      </c>
      <c r="L208" s="41">
        <f t="shared" si="85"/>
        <v>5</v>
      </c>
      <c r="M208" s="42" t="s">
        <v>612</v>
      </c>
      <c r="N208" s="61" t="s">
        <v>673</v>
      </c>
      <c r="O208" s="61" t="s">
        <v>682</v>
      </c>
      <c r="P208" s="31"/>
      <c r="Q208" s="31" t="s">
        <v>679</v>
      </c>
      <c r="R208" s="60"/>
    </row>
    <row r="209" spans="1:18" s="7" customFormat="1" ht="94.5" customHeight="1">
      <c r="A209" s="47">
        <v>30</v>
      </c>
      <c r="B209" s="44" t="s">
        <v>713</v>
      </c>
      <c r="C209" s="37" t="s">
        <v>692</v>
      </c>
      <c r="D209" s="31" t="s">
        <v>11</v>
      </c>
      <c r="E209" s="31" t="s">
        <v>67</v>
      </c>
      <c r="F209" s="37" t="s">
        <v>692</v>
      </c>
      <c r="G209" s="34">
        <v>5</v>
      </c>
      <c r="H209" s="34">
        <v>5</v>
      </c>
      <c r="I209" s="34">
        <v>5</v>
      </c>
      <c r="J209" s="35">
        <f>IF(MAX(G209:I209)=0,"",MAX(G209:I209))</f>
        <v>5</v>
      </c>
      <c r="K209" s="35">
        <v>1</v>
      </c>
      <c r="L209" s="34">
        <f>IFERROR(J209*K209,"")</f>
        <v>5</v>
      </c>
      <c r="M209" s="42" t="s">
        <v>726</v>
      </c>
      <c r="N209" s="61" t="s">
        <v>673</v>
      </c>
      <c r="O209" s="61" t="s">
        <v>677</v>
      </c>
      <c r="P209" s="37"/>
      <c r="Q209" s="37" t="s">
        <v>679</v>
      </c>
      <c r="R209" s="60"/>
    </row>
    <row r="210" spans="1:18" s="7" customFormat="1" ht="60">
      <c r="A210" s="48"/>
      <c r="B210" s="45"/>
      <c r="C210" s="38"/>
      <c r="D210" s="31" t="s">
        <v>49</v>
      </c>
      <c r="E210" s="31" t="s">
        <v>73</v>
      </c>
      <c r="F210" s="38" t="str">
        <f>IF($C210&lt;&gt;"",C210,"")</f>
        <v/>
      </c>
      <c r="G210" s="34">
        <v>5</v>
      </c>
      <c r="H210" s="34">
        <v>1</v>
      </c>
      <c r="I210" s="34">
        <v>1</v>
      </c>
      <c r="J210" s="35">
        <f t="shared" ref="J210:J212" si="87">IF(MAX(G210:I210)=0,"",MAX(G210:I210))</f>
        <v>5</v>
      </c>
      <c r="K210" s="35">
        <v>1</v>
      </c>
      <c r="L210" s="34">
        <f t="shared" ref="L210:L212" si="88">IFERROR(J210*K210,"")</f>
        <v>5</v>
      </c>
      <c r="M210" s="42" t="s">
        <v>728</v>
      </c>
      <c r="N210" s="61" t="s">
        <v>673</v>
      </c>
      <c r="O210" s="61" t="s">
        <v>682</v>
      </c>
      <c r="P210" s="37"/>
      <c r="Q210" s="37" t="s">
        <v>679</v>
      </c>
      <c r="R210" s="60"/>
    </row>
    <row r="211" spans="1:18" s="7" customFormat="1" ht="90">
      <c r="A211" s="48"/>
      <c r="B211" s="45"/>
      <c r="C211" s="38"/>
      <c r="D211" s="31" t="s">
        <v>112</v>
      </c>
      <c r="E211" s="31" t="s">
        <v>75</v>
      </c>
      <c r="F211" s="38" t="str">
        <f t="shared" ref="F211:F212" si="89">IF($C211&lt;&gt;"",C211,"")</f>
        <v/>
      </c>
      <c r="G211" s="34">
        <v>5</v>
      </c>
      <c r="H211" s="34">
        <v>5</v>
      </c>
      <c r="I211" s="34">
        <v>5</v>
      </c>
      <c r="J211" s="35">
        <f t="shared" si="87"/>
        <v>5</v>
      </c>
      <c r="K211" s="35">
        <v>1</v>
      </c>
      <c r="L211" s="41">
        <f t="shared" si="88"/>
        <v>5</v>
      </c>
      <c r="M211" s="42" t="s">
        <v>729</v>
      </c>
      <c r="N211" s="61" t="s">
        <v>673</v>
      </c>
      <c r="O211" s="61" t="s">
        <v>682</v>
      </c>
      <c r="P211" s="37"/>
      <c r="Q211" s="37" t="s">
        <v>679</v>
      </c>
      <c r="R211" s="60"/>
    </row>
    <row r="212" spans="1:18" s="7" customFormat="1" ht="105">
      <c r="A212" s="49"/>
      <c r="B212" s="46"/>
      <c r="C212" s="39"/>
      <c r="D212" s="31" t="s">
        <v>36</v>
      </c>
      <c r="E212" s="31" t="s">
        <v>72</v>
      </c>
      <c r="F212" s="39" t="str">
        <f t="shared" si="89"/>
        <v/>
      </c>
      <c r="G212" s="34">
        <v>5</v>
      </c>
      <c r="H212" s="34">
        <v>3</v>
      </c>
      <c r="I212" s="34">
        <v>1</v>
      </c>
      <c r="J212" s="35">
        <f t="shared" si="87"/>
        <v>5</v>
      </c>
      <c r="K212" s="35">
        <v>1</v>
      </c>
      <c r="L212" s="41">
        <f t="shared" si="88"/>
        <v>5</v>
      </c>
      <c r="M212" s="42" t="s">
        <v>730</v>
      </c>
      <c r="N212" s="61" t="s">
        <v>673</v>
      </c>
      <c r="O212" s="61" t="s">
        <v>677</v>
      </c>
      <c r="P212" s="31"/>
      <c r="Q212" s="31" t="s">
        <v>679</v>
      </c>
      <c r="R212" s="60"/>
    </row>
    <row r="213" spans="1:18" s="7" customFormat="1" ht="94.5" customHeight="1">
      <c r="A213" s="47">
        <v>31</v>
      </c>
      <c r="B213" s="44" t="s">
        <v>714</v>
      </c>
      <c r="C213" s="37" t="s">
        <v>692</v>
      </c>
      <c r="D213" s="31" t="s">
        <v>55</v>
      </c>
      <c r="E213" s="31" t="s">
        <v>73</v>
      </c>
      <c r="F213" s="37" t="s">
        <v>692</v>
      </c>
      <c r="G213" s="34">
        <v>1</v>
      </c>
      <c r="H213" s="34">
        <v>5</v>
      </c>
      <c r="I213" s="34">
        <v>5</v>
      </c>
      <c r="J213" s="35">
        <f>IF(MAX(G213:I213)=0,"",MAX(G213:I213))</f>
        <v>5</v>
      </c>
      <c r="K213" s="35">
        <v>1</v>
      </c>
      <c r="L213" s="34">
        <f>IFERROR(J213*K213,"")</f>
        <v>5</v>
      </c>
      <c r="M213" s="42" t="s">
        <v>731</v>
      </c>
      <c r="N213" s="61" t="s">
        <v>673</v>
      </c>
      <c r="O213" s="61" t="s">
        <v>677</v>
      </c>
      <c r="P213" s="37"/>
      <c r="Q213" s="37" t="s">
        <v>679</v>
      </c>
      <c r="R213" s="60"/>
    </row>
    <row r="214" spans="1:18" s="7" customFormat="1" ht="45">
      <c r="A214" s="48"/>
      <c r="B214" s="45"/>
      <c r="C214" s="38"/>
      <c r="D214" s="31" t="s">
        <v>456</v>
      </c>
      <c r="E214" s="31" t="s">
        <v>75</v>
      </c>
      <c r="F214" s="38" t="str">
        <f>IF($C214&lt;&gt;"",C214,"")</f>
        <v/>
      </c>
      <c r="G214" s="34">
        <v>5</v>
      </c>
      <c r="H214" s="34">
        <v>1</v>
      </c>
      <c r="I214" s="34">
        <v>1</v>
      </c>
      <c r="J214" s="35">
        <f t="shared" ref="J214:J216" si="90">IF(MAX(G214:I214)=0,"",MAX(G214:I214))</f>
        <v>5</v>
      </c>
      <c r="K214" s="35">
        <v>1</v>
      </c>
      <c r="L214" s="34">
        <f t="shared" ref="L214:L216" si="91">IFERROR(J214*K214,"")</f>
        <v>5</v>
      </c>
      <c r="M214" s="42" t="s">
        <v>732</v>
      </c>
      <c r="N214" s="61" t="s">
        <v>673</v>
      </c>
      <c r="O214" s="61" t="s">
        <v>682</v>
      </c>
      <c r="P214" s="37"/>
      <c r="Q214" s="37" t="s">
        <v>679</v>
      </c>
      <c r="R214" s="60"/>
    </row>
    <row r="215" spans="1:18" s="7" customFormat="1" ht="75">
      <c r="A215" s="48"/>
      <c r="B215" s="45"/>
      <c r="C215" s="38"/>
      <c r="D215" s="31" t="s">
        <v>112</v>
      </c>
      <c r="E215" s="31" t="s">
        <v>75</v>
      </c>
      <c r="F215" s="38" t="str">
        <f t="shared" ref="F215:F216" si="92">IF($C215&lt;&gt;"",C215,"")</f>
        <v/>
      </c>
      <c r="G215" s="34">
        <v>5</v>
      </c>
      <c r="H215" s="34">
        <v>5</v>
      </c>
      <c r="I215" s="34">
        <v>5</v>
      </c>
      <c r="J215" s="35">
        <f t="shared" si="90"/>
        <v>5</v>
      </c>
      <c r="K215" s="35">
        <v>1</v>
      </c>
      <c r="L215" s="41">
        <f t="shared" si="91"/>
        <v>5</v>
      </c>
      <c r="M215" s="42" t="s">
        <v>733</v>
      </c>
      <c r="N215" s="61" t="s">
        <v>673</v>
      </c>
      <c r="O215" s="61" t="s">
        <v>682</v>
      </c>
      <c r="P215" s="37"/>
      <c r="Q215" s="37" t="s">
        <v>679</v>
      </c>
      <c r="R215" s="60"/>
    </row>
    <row r="216" spans="1:18" s="7" customFormat="1" ht="60">
      <c r="A216" s="49"/>
      <c r="B216" s="46"/>
      <c r="C216" s="39"/>
      <c r="D216" s="31" t="s">
        <v>48</v>
      </c>
      <c r="E216" s="31" t="s">
        <v>73</v>
      </c>
      <c r="F216" s="39" t="str">
        <f t="shared" si="92"/>
        <v/>
      </c>
      <c r="G216" s="34">
        <v>1</v>
      </c>
      <c r="H216" s="34">
        <v>5</v>
      </c>
      <c r="I216" s="34">
        <v>5</v>
      </c>
      <c r="J216" s="35">
        <f t="shared" si="90"/>
        <v>5</v>
      </c>
      <c r="K216" s="35">
        <v>1</v>
      </c>
      <c r="L216" s="41">
        <f t="shared" si="91"/>
        <v>5</v>
      </c>
      <c r="M216" s="42" t="s">
        <v>734</v>
      </c>
      <c r="N216" s="61" t="s">
        <v>673</v>
      </c>
      <c r="O216" s="61" t="s">
        <v>677</v>
      </c>
      <c r="P216" s="31"/>
      <c r="Q216" s="31" t="s">
        <v>679</v>
      </c>
      <c r="R216" s="60"/>
    </row>
    <row r="217" spans="1:18" s="7" customFormat="1" ht="180">
      <c r="A217" s="47">
        <v>32</v>
      </c>
      <c r="B217" s="44" t="s">
        <v>715</v>
      </c>
      <c r="C217" s="37" t="s">
        <v>434</v>
      </c>
      <c r="D217" s="31" t="s">
        <v>12</v>
      </c>
      <c r="E217" s="31" t="s">
        <v>95</v>
      </c>
      <c r="F217" s="37" t="s">
        <v>434</v>
      </c>
      <c r="G217" s="34">
        <v>1</v>
      </c>
      <c r="H217" s="34">
        <v>1</v>
      </c>
      <c r="I217" s="34">
        <v>5</v>
      </c>
      <c r="J217" s="35">
        <f>IF(MAX(G217:I217)=0,"",MAX(G217:I217))</f>
        <v>5</v>
      </c>
      <c r="K217" s="35">
        <v>1</v>
      </c>
      <c r="L217" s="34">
        <f>IFERROR(J217*K217,"")</f>
        <v>5</v>
      </c>
      <c r="M217" s="42" t="s">
        <v>735</v>
      </c>
      <c r="N217" s="61" t="s">
        <v>673</v>
      </c>
      <c r="O217" s="61" t="s">
        <v>737</v>
      </c>
      <c r="P217" s="37"/>
      <c r="Q217" s="37" t="s">
        <v>679</v>
      </c>
      <c r="R217" s="60"/>
    </row>
    <row r="218" spans="1:18" s="7" customFormat="1" ht="120">
      <c r="A218" s="48"/>
      <c r="B218" s="45"/>
      <c r="C218" s="38"/>
      <c r="D218" s="31" t="s">
        <v>460</v>
      </c>
      <c r="E218" s="31" t="s">
        <v>72</v>
      </c>
      <c r="F218" s="38" t="str">
        <f>IF($C218&lt;&gt;"",C218,"")</f>
        <v/>
      </c>
      <c r="G218" s="34">
        <v>1</v>
      </c>
      <c r="H218" s="34">
        <v>1</v>
      </c>
      <c r="I218" s="34">
        <v>5</v>
      </c>
      <c r="J218" s="35">
        <f t="shared" ref="J218:J219" si="93">IF(MAX(G218:I218)=0,"",MAX(G218:I218))</f>
        <v>5</v>
      </c>
      <c r="K218" s="35">
        <v>1</v>
      </c>
      <c r="L218" s="34">
        <f t="shared" ref="L218:L219" si="94">IFERROR(J218*K218,"")</f>
        <v>5</v>
      </c>
      <c r="M218" s="42" t="s">
        <v>736</v>
      </c>
      <c r="N218" s="61" t="s">
        <v>673</v>
      </c>
      <c r="O218" s="61" t="s">
        <v>737</v>
      </c>
      <c r="P218" s="37"/>
      <c r="Q218" s="37" t="s">
        <v>679</v>
      </c>
      <c r="R218" s="60"/>
    </row>
    <row r="219" spans="1:18" s="7" customFormat="1" ht="120">
      <c r="A219" s="49"/>
      <c r="B219" s="46"/>
      <c r="C219" s="39"/>
      <c r="D219" s="31" t="s">
        <v>18</v>
      </c>
      <c r="E219" s="31" t="s">
        <v>73</v>
      </c>
      <c r="F219" s="39" t="str">
        <f t="shared" ref="F219" si="95">IF($C219&lt;&gt;"",C219,"")</f>
        <v/>
      </c>
      <c r="G219" s="34">
        <v>1</v>
      </c>
      <c r="H219" s="34">
        <v>1</v>
      </c>
      <c r="I219" s="34">
        <v>5</v>
      </c>
      <c r="J219" s="35">
        <f t="shared" si="93"/>
        <v>5</v>
      </c>
      <c r="K219" s="35">
        <v>1</v>
      </c>
      <c r="L219" s="41">
        <f t="shared" si="94"/>
        <v>5</v>
      </c>
      <c r="M219" s="42" t="s">
        <v>736</v>
      </c>
      <c r="N219" s="61" t="s">
        <v>673</v>
      </c>
      <c r="O219" s="61" t="s">
        <v>737</v>
      </c>
      <c r="P219" s="31"/>
      <c r="Q219" s="31" t="s">
        <v>679</v>
      </c>
      <c r="R219" s="60"/>
    </row>
    <row r="220" spans="1:18" s="7" customFormat="1" ht="94.5" customHeight="1">
      <c r="A220" s="47">
        <v>31</v>
      </c>
      <c r="B220" s="44" t="s">
        <v>717</v>
      </c>
      <c r="C220" s="37" t="s">
        <v>692</v>
      </c>
      <c r="D220" s="31" t="s">
        <v>34</v>
      </c>
      <c r="E220" s="31" t="s">
        <v>72</v>
      </c>
      <c r="F220" s="37" t="s">
        <v>692</v>
      </c>
      <c r="G220" s="34">
        <v>1</v>
      </c>
      <c r="H220" s="34">
        <v>1</v>
      </c>
      <c r="I220" s="34">
        <v>5</v>
      </c>
      <c r="J220" s="35">
        <f>IF(MAX(G220:I220)=0,"",MAX(G220:I220))</f>
        <v>5</v>
      </c>
      <c r="K220" s="35">
        <v>1</v>
      </c>
      <c r="L220" s="34">
        <f>IFERROR(J220*K220,"")</f>
        <v>5</v>
      </c>
      <c r="M220" s="42" t="s">
        <v>738</v>
      </c>
      <c r="N220" s="61" t="s">
        <v>673</v>
      </c>
      <c r="O220" s="61" t="s">
        <v>737</v>
      </c>
      <c r="P220" s="37"/>
      <c r="Q220" s="37" t="s">
        <v>679</v>
      </c>
      <c r="R220" s="60"/>
    </row>
    <row r="221" spans="1:18" s="7" customFormat="1" ht="75">
      <c r="A221" s="48"/>
      <c r="B221" s="45"/>
      <c r="C221" s="38"/>
      <c r="D221" s="31" t="s">
        <v>14</v>
      </c>
      <c r="E221" s="31" t="s">
        <v>73</v>
      </c>
      <c r="F221" s="38" t="str">
        <f>IF($C221&lt;&gt;"",C221,"")</f>
        <v/>
      </c>
      <c r="G221" s="34">
        <v>1</v>
      </c>
      <c r="H221" s="34">
        <v>1</v>
      </c>
      <c r="I221" s="34">
        <v>5</v>
      </c>
      <c r="J221" s="35">
        <f t="shared" ref="J221:J223" si="96">IF(MAX(G221:I221)=0,"",MAX(G221:I221))</f>
        <v>5</v>
      </c>
      <c r="K221" s="35">
        <v>1</v>
      </c>
      <c r="L221" s="34">
        <f t="shared" ref="L221:L223" si="97">IFERROR(J221*K221,"")</f>
        <v>5</v>
      </c>
      <c r="M221" s="42" t="s">
        <v>738</v>
      </c>
      <c r="N221" s="61" t="s">
        <v>673</v>
      </c>
      <c r="O221" s="61" t="s">
        <v>737</v>
      </c>
      <c r="P221" s="37"/>
      <c r="Q221" s="37" t="s">
        <v>679</v>
      </c>
      <c r="R221" s="60"/>
    </row>
    <row r="222" spans="1:18" s="7" customFormat="1" ht="45">
      <c r="A222" s="48"/>
      <c r="B222" s="45"/>
      <c r="C222" s="38"/>
      <c r="D222" s="31" t="s">
        <v>47</v>
      </c>
      <c r="E222" s="31" t="s">
        <v>75</v>
      </c>
      <c r="F222" s="38" t="str">
        <f t="shared" ref="F222:F223" si="98">IF($C222&lt;&gt;"",C222,"")</f>
        <v/>
      </c>
      <c r="G222" s="34">
        <v>5</v>
      </c>
      <c r="H222" s="34">
        <v>1</v>
      </c>
      <c r="I222" s="34">
        <v>5</v>
      </c>
      <c r="J222" s="35">
        <f t="shared" si="96"/>
        <v>5</v>
      </c>
      <c r="K222" s="35">
        <v>1</v>
      </c>
      <c r="L222" s="41">
        <f t="shared" si="97"/>
        <v>5</v>
      </c>
      <c r="M222" s="42" t="s">
        <v>739</v>
      </c>
      <c r="N222" s="61" t="s">
        <v>673</v>
      </c>
      <c r="O222" s="61" t="s">
        <v>682</v>
      </c>
      <c r="P222" s="37"/>
      <c r="Q222" s="37" t="s">
        <v>679</v>
      </c>
      <c r="R222" s="60"/>
    </row>
    <row r="223" spans="1:18" s="7" customFormat="1" ht="45">
      <c r="A223" s="49"/>
      <c r="B223" s="46"/>
      <c r="C223" s="39"/>
      <c r="D223" s="31" t="s">
        <v>48</v>
      </c>
      <c r="E223" s="31" t="s">
        <v>73</v>
      </c>
      <c r="F223" s="39" t="str">
        <f t="shared" si="98"/>
        <v/>
      </c>
      <c r="G223" s="34">
        <v>5</v>
      </c>
      <c r="H223" s="34">
        <v>1</v>
      </c>
      <c r="I223" s="34">
        <v>5</v>
      </c>
      <c r="J223" s="35">
        <f t="shared" si="96"/>
        <v>5</v>
      </c>
      <c r="K223" s="35">
        <v>1</v>
      </c>
      <c r="L223" s="41">
        <f t="shared" si="97"/>
        <v>5</v>
      </c>
      <c r="M223" s="42" t="s">
        <v>739</v>
      </c>
      <c r="N223" s="61" t="s">
        <v>673</v>
      </c>
      <c r="O223" s="61" t="s">
        <v>682</v>
      </c>
      <c r="P223" s="31"/>
      <c r="Q223" s="31" t="s">
        <v>679</v>
      </c>
      <c r="R223" s="60"/>
    </row>
  </sheetData>
  <dataConsolidate/>
  <mergeCells count="2">
    <mergeCell ref="A1:M1"/>
    <mergeCell ref="N1:R1"/>
  </mergeCells>
  <conditionalFormatting sqref="L217:L219 L3:L192">
    <cfRule type="cellIs" dxfId="26" priority="22" operator="greaterThanOrEqual">
      <formula>15</formula>
    </cfRule>
    <cfRule type="cellIs" dxfId="25" priority="23" operator="between">
      <formula>5</formula>
      <formula>14</formula>
    </cfRule>
    <cfRule type="cellIs" dxfId="24" priority="24" operator="lessThanOrEqual">
      <formula>4</formula>
    </cfRule>
  </conditionalFormatting>
  <conditionalFormatting sqref="L193:L196">
    <cfRule type="cellIs" dxfId="23" priority="19" operator="greaterThanOrEqual">
      <formula>15</formula>
    </cfRule>
    <cfRule type="cellIs" dxfId="22" priority="20" operator="between">
      <formula>5</formula>
      <formula>14</formula>
    </cfRule>
    <cfRule type="cellIs" dxfId="21" priority="21" operator="lessThanOrEqual">
      <formula>4</formula>
    </cfRule>
  </conditionalFormatting>
  <conditionalFormatting sqref="L197:L200">
    <cfRule type="cellIs" dxfId="20" priority="16" operator="greaterThanOrEqual">
      <formula>15</formula>
    </cfRule>
    <cfRule type="cellIs" dxfId="19" priority="17" operator="between">
      <formula>5</formula>
      <formula>14</formula>
    </cfRule>
    <cfRule type="cellIs" dxfId="18" priority="18" operator="lessThanOrEqual">
      <formula>4</formula>
    </cfRule>
  </conditionalFormatting>
  <conditionalFormatting sqref="L201:L204">
    <cfRule type="cellIs" dxfId="17" priority="13" operator="greaterThanOrEqual">
      <formula>15</formula>
    </cfRule>
    <cfRule type="cellIs" dxfId="16" priority="14" operator="between">
      <formula>5</formula>
      <formula>14</formula>
    </cfRule>
    <cfRule type="cellIs" dxfId="15" priority="15" operator="lessThanOrEqual">
      <formula>4</formula>
    </cfRule>
  </conditionalFormatting>
  <conditionalFormatting sqref="L205:L208">
    <cfRule type="cellIs" dxfId="14" priority="10" operator="greaterThanOrEqual">
      <formula>15</formula>
    </cfRule>
    <cfRule type="cellIs" dxfId="13" priority="11" operator="between">
      <formula>5</formula>
      <formula>14</formula>
    </cfRule>
    <cfRule type="cellIs" dxfId="12" priority="12" operator="lessThanOrEqual">
      <formula>4</formula>
    </cfRule>
  </conditionalFormatting>
  <conditionalFormatting sqref="L209:L212">
    <cfRule type="cellIs" dxfId="11" priority="7" operator="greaterThanOrEqual">
      <formula>15</formula>
    </cfRule>
    <cfRule type="cellIs" dxfId="10" priority="8" operator="between">
      <formula>5</formula>
      <formula>14</formula>
    </cfRule>
    <cfRule type="cellIs" dxfId="9" priority="9" operator="lessThanOrEqual">
      <formula>4</formula>
    </cfRule>
  </conditionalFormatting>
  <conditionalFormatting sqref="L213:L216">
    <cfRule type="cellIs" dxfId="8" priority="4" operator="greaterThanOrEqual">
      <formula>15</formula>
    </cfRule>
    <cfRule type="cellIs" dxfId="7" priority="5" operator="between">
      <formula>5</formula>
      <formula>14</formula>
    </cfRule>
    <cfRule type="cellIs" dxfId="6" priority="6" operator="lessThanOrEqual">
      <formula>4</formula>
    </cfRule>
  </conditionalFormatting>
  <conditionalFormatting sqref="L220:L223">
    <cfRule type="cellIs" dxfId="5" priority="1" operator="greaterThanOrEqual">
      <formula>15</formula>
    </cfRule>
    <cfRule type="cellIs" dxfId="4" priority="2" operator="between">
      <formula>5</formula>
      <formula>14</formula>
    </cfRule>
    <cfRule type="cellIs" dxfId="3" priority="3" operator="lessThanOrEqual">
      <formula>4</formula>
    </cfRule>
  </conditionalFormatting>
  <dataValidations count="12">
    <dataValidation type="list" allowBlank="1" showInputMessage="1" sqref="O3:O373">
      <formula1>DocsList</formula1>
    </dataValidation>
    <dataValidation type="list" allowBlank="1" showInputMessage="1" showErrorMessage="1" sqref="E3:E223">
      <formula1>VulnerabitiesList</formula1>
    </dataValidation>
    <dataValidation allowBlank="1" showInputMessage="1" showErrorMessage="1" errorTitle="Wrong value!" error="Values 0, 1 or 2 are allowed" sqref="J3:J223"/>
    <dataValidation type="list" allowBlank="1" showInputMessage="1" showErrorMessage="1" sqref="D3:D223">
      <formula1>ThreatsList</formula1>
    </dataValidation>
    <dataValidation type="list" errorStyle="information" allowBlank="1" showInputMessage="1" showErrorMessage="1" sqref="C3:C223 P3:P223 F3:F223">
      <formula1>RiskOwners</formula1>
    </dataValidation>
    <dataValidation type="list" allowBlank="1" showInputMessage="1" showErrorMessage="1" sqref="B3:B223">
      <formula1>AssetsList</formula1>
    </dataValidation>
    <dataValidation type="list" errorStyle="information" allowBlank="1" showInputMessage="1" showErrorMessage="1" sqref="G3:G223">
      <formula1>RatingConfidentiality</formula1>
    </dataValidation>
    <dataValidation type="list" errorStyle="information" allowBlank="1" showInputMessage="1" showErrorMessage="1" sqref="I3:I223">
      <formula1>RatingAvailability</formula1>
    </dataValidation>
    <dataValidation type="list" allowBlank="1" showInputMessage="1" showErrorMessage="1" sqref="H3:H223">
      <formula1>RatingIntegrity</formula1>
    </dataValidation>
    <dataValidation type="list" allowBlank="1" showInputMessage="1" showErrorMessage="1" sqref="N3:N223">
      <formula1>RTPoptions</formula1>
    </dataValidation>
    <dataValidation type="list" errorStyle="information" allowBlank="1" showInputMessage="1" showErrorMessage="1" sqref="Q3:Q223">
      <formula1>RTPstatus</formula1>
    </dataValidation>
    <dataValidation type="list" allowBlank="1" showInputMessage="1" showErrorMessage="1" sqref="K3:K223">
      <formula1>LikelihoodRating</formula1>
    </dataValidation>
  </dataValidations>
  <printOptions horizontalCentered="1"/>
  <pageMargins left="0.39370078740157483" right="0.39370078740157483" top="1.0236220472440944" bottom="0.62992125984251968" header="0.31496062992125984" footer="0.31496062992125984"/>
  <pageSetup paperSize="9" scale="68" fitToHeight="0" orientation="landscape" r:id="rId1"/>
  <headerFooter>
    <oddHeader>&amp;L&amp;"-,Bold"&amp;12Dodid Pte Ltd&amp;R&amp;"-,Bold"&amp;12Confidential</oddHeader>
    <oddFooter xml:space="preserve">&amp;LRisk Assessment Table
  &amp;RPage &amp;P of &amp;N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249977111117893"/>
  </sheetPr>
  <dimension ref="A1:B10"/>
  <sheetViews>
    <sheetView showGridLines="0" workbookViewId="0">
      <selection activeCell="E18" sqref="E18"/>
    </sheetView>
  </sheetViews>
  <sheetFormatPr defaultRowHeight="15"/>
  <cols>
    <col min="1" max="1" width="41.42578125" customWidth="1"/>
    <col min="2" max="2" width="10.5703125" customWidth="1"/>
  </cols>
  <sheetData>
    <row r="1" spans="1:2">
      <c r="A1" s="57" t="s">
        <v>110</v>
      </c>
      <c r="B1" s="57" t="s">
        <v>111</v>
      </c>
    </row>
    <row r="2" spans="1:2">
      <c r="A2" s="56" t="s">
        <v>747</v>
      </c>
      <c r="B2" s="56" t="s">
        <v>592</v>
      </c>
    </row>
    <row r="3" spans="1:2">
      <c r="A3" s="56" t="s">
        <v>846</v>
      </c>
      <c r="B3" s="56" t="s">
        <v>847</v>
      </c>
    </row>
    <row r="4" spans="1:2">
      <c r="A4" s="56" t="s">
        <v>844</v>
      </c>
      <c r="B4" s="56" t="s">
        <v>845</v>
      </c>
    </row>
    <row r="5" spans="1:2">
      <c r="A5" s="56" t="s">
        <v>745</v>
      </c>
      <c r="B5" s="56" t="s">
        <v>746</v>
      </c>
    </row>
    <row r="6" spans="1:2">
      <c r="A6" s="56" t="s">
        <v>842</v>
      </c>
      <c r="B6" s="56" t="s">
        <v>843</v>
      </c>
    </row>
    <row r="7" spans="1:2">
      <c r="A7" s="56" t="s">
        <v>840</v>
      </c>
      <c r="B7" s="56" t="s">
        <v>841</v>
      </c>
    </row>
    <row r="8" spans="1:2">
      <c r="A8" s="56"/>
      <c r="B8" s="56"/>
    </row>
    <row r="9" spans="1:2">
      <c r="A9" s="56"/>
      <c r="B9" s="56"/>
    </row>
    <row r="10" spans="1:2">
      <c r="A10" s="56"/>
      <c r="B10" s="56"/>
    </row>
  </sheetData>
  <sortState ref="A2:B7">
    <sortCondition ref="A2:A7"/>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pageSetUpPr fitToPage="1"/>
  </sheetPr>
  <dimension ref="A1:D37"/>
  <sheetViews>
    <sheetView showGridLines="0" workbookViewId="0">
      <pane xSplit="4" ySplit="1" topLeftCell="E2" activePane="bottomRight" state="frozenSplit"/>
      <selection pane="topRight" activeCell="E1" sqref="E1"/>
      <selection pane="bottomLeft" activeCell="A2" sqref="A2"/>
      <selection pane="bottomRight" activeCell="A17" sqref="A17"/>
    </sheetView>
  </sheetViews>
  <sheetFormatPr defaultRowHeight="12.75"/>
  <cols>
    <col min="1" max="1" width="36.85546875" style="107" customWidth="1"/>
    <col min="2" max="2" width="86.85546875" style="107" customWidth="1"/>
    <col min="3" max="3" width="24.28515625" style="107" customWidth="1"/>
    <col min="4" max="4" width="19.28515625" style="113" customWidth="1"/>
    <col min="5" max="16384" width="9.140625" style="107"/>
  </cols>
  <sheetData>
    <row r="1" spans="1:4">
      <c r="A1" s="106" t="s">
        <v>554</v>
      </c>
      <c r="B1" s="106" t="s">
        <v>453</v>
      </c>
      <c r="C1" s="114" t="s">
        <v>825</v>
      </c>
      <c r="D1" s="114" t="s">
        <v>690</v>
      </c>
    </row>
    <row r="2" spans="1:4">
      <c r="A2" s="110" t="s">
        <v>839</v>
      </c>
      <c r="B2" s="110" t="s">
        <v>828</v>
      </c>
      <c r="C2" s="109">
        <f>IF(AND($A2&lt;&gt;"",$B2&lt;&gt;""),IFERROR(MATCH(A2,'RA-RTP (2020)'!$B$1:$B$784,0),"no match"),"")</f>
        <v>170</v>
      </c>
      <c r="D2" s="109">
        <f>IF(AND($A2&lt;&gt;"",$B2&lt;&gt;""),IFERROR(INDEX('RA-RTP (2020)'!$A$3:$A$784,MATCH(A2,'RA-RTP (2020)'!$B$3:$B$784,0)),"no match"),"")</f>
        <v>30</v>
      </c>
    </row>
    <row r="3" spans="1:4">
      <c r="A3" s="110" t="s">
        <v>853</v>
      </c>
      <c r="B3" s="110" t="s">
        <v>773</v>
      </c>
      <c r="C3" s="109">
        <f>IF(AND($A3&lt;&gt;"",$B3&lt;&gt;""),IFERROR(MATCH(A3,'RA-RTP (2020)'!$B$1:$B$784,0),"no match"),"")</f>
        <v>155</v>
      </c>
      <c r="D3" s="109">
        <f>IF(AND($A3&lt;&gt;"",$B3&lt;&gt;""),IFERROR(INDEX('RA-RTP (2020)'!$A$3:$A$784,MATCH(A3,'RA-RTP (2020)'!$B$3:$B$784,0)),"no match"),"")</f>
        <v>21</v>
      </c>
    </row>
    <row r="4" spans="1:4">
      <c r="A4" s="110" t="s">
        <v>852</v>
      </c>
      <c r="B4" s="110" t="s">
        <v>776</v>
      </c>
      <c r="C4" s="109">
        <f>IF(AND($A4&lt;&gt;"",$B4&lt;&gt;""),IFERROR(MATCH(A4,'RA-RTP (2020)'!$B$1:$B$784,0),"no match"),"")</f>
        <v>151</v>
      </c>
      <c r="D4" s="109">
        <f>IF(AND($A4&lt;&gt;"",$B4&lt;&gt;""),IFERROR(INDEX('RA-RTP (2020)'!$A$3:$A$784,MATCH(A4,'RA-RTP (2020)'!$B$3:$B$784,0)),"no match"),"")</f>
        <v>20</v>
      </c>
    </row>
    <row r="5" spans="1:4">
      <c r="A5" s="108" t="s">
        <v>848</v>
      </c>
      <c r="B5" s="108" t="s">
        <v>849</v>
      </c>
      <c r="C5" s="109">
        <f>IF(AND($A5&lt;&gt;"",$B5&lt;&gt;""),IFERROR(MATCH(A5,'RA-RTP (2020)'!$B$1:$B$784,0),"no match"),"")</f>
        <v>40</v>
      </c>
      <c r="D5" s="109">
        <f>IF(AND($A5&lt;&gt;"",$B5&lt;&gt;""),IFERROR(INDEX('RA-RTP (2020)'!$A$3:$A$784,MATCH(A5,'RA-RTP (2020)'!$B$3:$B$784,0)),"no match"),"")</f>
        <v>8</v>
      </c>
    </row>
    <row r="6" spans="1:4">
      <c r="A6" s="108" t="s">
        <v>836</v>
      </c>
      <c r="B6" s="108" t="s">
        <v>837</v>
      </c>
      <c r="C6" s="109" t="str">
        <f>IF(AND($A6&lt;&gt;"",$B6&lt;&gt;""),IFERROR(MATCH(A6,'RA-RTP (2020)'!$B$1:$B$784,0),"no match"),"")</f>
        <v>no match</v>
      </c>
      <c r="D6" s="109" t="str">
        <f>IF(AND($A6&lt;&gt;"",$B6&lt;&gt;""),IFERROR(INDEX('RA-RTP (2020)'!$A$3:$A$784,MATCH(A6,'RA-RTP (2020)'!$B$3:$B$784,0)),"no match"),"")</f>
        <v>no match</v>
      </c>
    </row>
    <row r="7" spans="1:4">
      <c r="A7" s="108" t="s">
        <v>833</v>
      </c>
      <c r="B7" s="108" t="s">
        <v>834</v>
      </c>
      <c r="C7" s="109">
        <f>IF(AND($A7&lt;&gt;"",$B7&lt;&gt;""),IFERROR(MATCH(A7,'RA-RTP (2020)'!$B$1:$B$784,0),"no match"),"")</f>
        <v>16</v>
      </c>
      <c r="D7" s="109">
        <f>IF(AND($A7&lt;&gt;"",$B7&lt;&gt;""),IFERROR(INDEX('RA-RTP (2020)'!$A$3:$A$784,MATCH(A7,'RA-RTP (2020)'!$B$3:$B$784,0)),"no match"),"")</f>
        <v>4</v>
      </c>
    </row>
    <row r="8" spans="1:4">
      <c r="A8" s="110" t="s">
        <v>714</v>
      </c>
      <c r="B8" s="110" t="s">
        <v>714</v>
      </c>
      <c r="C8" s="109">
        <f>IF(AND($A8&lt;&gt;"",$B8&lt;&gt;""),IFERROR(MATCH(A8,'RA-RTP (2020)'!$B$1:$B$784,0),"no match"),"")</f>
        <v>64</v>
      </c>
      <c r="D8" s="109">
        <f>IF(AND($A8&lt;&gt;"",$B8&lt;&gt;""),IFERROR(INDEX('RA-RTP (2020)'!$A$3:$A$784,MATCH(A8,'RA-RTP (2020)'!$B$3:$B$784,0)),"no match"),"")</f>
        <v>12</v>
      </c>
    </row>
    <row r="9" spans="1:4">
      <c r="A9" s="108" t="s">
        <v>749</v>
      </c>
      <c r="B9" s="108" t="s">
        <v>555</v>
      </c>
      <c r="C9" s="109">
        <f>IF(AND($A9&lt;&gt;"",$B9&lt;&gt;""),IFERROR(MATCH(A9,'RA-RTP (2020)'!$B$1:$B$784,0),"no match"),"")</f>
        <v>3</v>
      </c>
      <c r="D9" s="109">
        <f>IF(AND($A9&lt;&gt;"",$B9&lt;&gt;""),IFERROR(INDEX('RA-RTP (2020)'!$A$3:$A$784,MATCH(A9,'RA-RTP (2020)'!$B$3:$B$784,0)),"no match"),"")</f>
        <v>1</v>
      </c>
    </row>
    <row r="10" spans="1:4">
      <c r="A10" s="110" t="s">
        <v>827</v>
      </c>
      <c r="B10" s="110" t="s">
        <v>709</v>
      </c>
      <c r="C10" s="109">
        <f>IF(AND($A10&lt;&gt;"",$B10&lt;&gt;""),IFERROR(MATCH(A10,'RA-RTP (2020)'!$B$1:$B$784,0),"no match"),"")</f>
        <v>52</v>
      </c>
      <c r="D10" s="109">
        <f>IF(AND($A10&lt;&gt;"",$B10&lt;&gt;""),IFERROR(INDEX('RA-RTP (2020)'!$A$3:$A$784,MATCH(A10,'RA-RTP (2020)'!$B$3:$B$784,0)),"no match"),"")</f>
        <v>9</v>
      </c>
    </row>
    <row r="11" spans="1:4">
      <c r="A11" s="110" t="s">
        <v>850</v>
      </c>
      <c r="B11" s="110" t="s">
        <v>851</v>
      </c>
      <c r="C11" s="109">
        <f>IF(AND($A11&lt;&gt;"",$B11&lt;&gt;""),IFERROR(MATCH(A11,'RA-RTP (2020)'!$B$1:$B$784,0),"no match"),"")</f>
        <v>60</v>
      </c>
      <c r="D11" s="109">
        <f>IF(AND($A11&lt;&gt;"",$B11&lt;&gt;""),IFERROR(INDEX('RA-RTP (2020)'!$A$3:$A$784,MATCH(A11,'RA-RTP (2020)'!$B$3:$B$784,0)),"no match"),"")</f>
        <v>11</v>
      </c>
    </row>
    <row r="12" spans="1:4">
      <c r="A12" s="108" t="s">
        <v>831</v>
      </c>
      <c r="B12" s="108" t="s">
        <v>832</v>
      </c>
      <c r="C12" s="109">
        <f>IF(AND($A12&lt;&gt;"",$B12&lt;&gt;""),IFERROR(MATCH(A12,'RA-RTP (2020)'!$B$1:$B$784,0),"no match"),"")</f>
        <v>98</v>
      </c>
      <c r="D12" s="109">
        <f>IF(AND($A12&lt;&gt;"",$B12&lt;&gt;""),IFERROR(INDEX('RA-RTP (2020)'!$A$3:$A$784,MATCH(A12,'RA-RTP (2020)'!$B$3:$B$784,0)),"no match"),"")</f>
        <v>15</v>
      </c>
    </row>
    <row r="13" spans="1:4">
      <c r="A13" s="108" t="s">
        <v>770</v>
      </c>
      <c r="B13" s="108" t="s">
        <v>771</v>
      </c>
      <c r="C13" s="109">
        <f>IF(AND($A13&lt;&gt;"",$B13&lt;&gt;""),IFERROR(MATCH(A13,'RA-RTP (2020)'!$B$1:$B$784,0),"no match"),"")</f>
        <v>139</v>
      </c>
      <c r="D13" s="109">
        <f>IF(AND($A13&lt;&gt;"",$B13&lt;&gt;""),IFERROR(INDEX('RA-RTP (2020)'!$A$3:$A$784,MATCH(A13,'RA-RTP (2020)'!$B$3:$B$784,0)),"no match"),"")</f>
        <v>19</v>
      </c>
    </row>
    <row r="14" spans="1:4">
      <c r="A14" s="110" t="s">
        <v>820</v>
      </c>
      <c r="B14" s="110" t="s">
        <v>838</v>
      </c>
      <c r="C14" s="109">
        <f>IF(AND($A14&lt;&gt;"",$B14&lt;&gt;""),IFERROR(MATCH(A14,'RA-RTP (2020)'!$B$1:$B$784,0),"no match"),"")</f>
        <v>56</v>
      </c>
      <c r="D14" s="109">
        <f>IF(AND($A14&lt;&gt;"",$B14&lt;&gt;""),IFERROR(INDEX('RA-RTP (2020)'!$A$3:$A$784,MATCH(A14,'RA-RTP (2020)'!$B$3:$B$784,0)),"no match"),"")</f>
        <v>11</v>
      </c>
    </row>
    <row r="15" spans="1:4">
      <c r="A15" s="110" t="s">
        <v>829</v>
      </c>
      <c r="B15" s="108" t="s">
        <v>830</v>
      </c>
      <c r="C15" s="109">
        <f>IF(AND($A15&lt;&gt;"",$B15&lt;&gt;""),IFERROR(MATCH(A15,'RA-RTP (2020)'!$B$1:$B$784,0),"no match"),"")</f>
        <v>158</v>
      </c>
      <c r="D15" s="109">
        <f>IF(AND($A15&lt;&gt;"",$B15&lt;&gt;""),IFERROR(INDEX('RA-RTP (2020)'!$A$3:$A$784,MATCH(A15,'RA-RTP (2020)'!$B$3:$B$784,0)),"no match"),"")</f>
        <v>24</v>
      </c>
    </row>
    <row r="16" spans="1:4">
      <c r="A16" s="108" t="s">
        <v>754</v>
      </c>
      <c r="B16" s="108" t="s">
        <v>835</v>
      </c>
      <c r="C16" s="109">
        <f>IF(AND($A16&lt;&gt;"",$B16&lt;&gt;""),IFERROR(MATCH(A16,'RA-RTP (2020)'!$B$1:$B$784,0),"no match"),"")</f>
        <v>28</v>
      </c>
      <c r="D16" s="109">
        <f>IF(AND($A16&lt;&gt;"",$B16&lt;&gt;""),IFERROR(INDEX('RA-RTP (2020)'!$A$3:$A$784,MATCH(A16,'RA-RTP (2020)'!$B$3:$B$784,0)),"no match"),"")</f>
        <v>6</v>
      </c>
    </row>
    <row r="17" spans="1:4">
      <c r="A17" s="110" t="s">
        <v>781</v>
      </c>
      <c r="B17" s="110" t="s">
        <v>782</v>
      </c>
      <c r="C17" s="109">
        <f>IF(AND($A17&lt;&gt;"",$B17&lt;&gt;""),IFERROR(MATCH(A17,'RA-RTP (2020)'!$B$1:$B$784,0),"no match"),"")</f>
        <v>68</v>
      </c>
      <c r="D17" s="109">
        <f>IF(AND($A17&lt;&gt;"",$B17&lt;&gt;""),IFERROR(INDEX('RA-RTP (2020)'!$A$3:$A$784,MATCH(A17,'RA-RTP (2020)'!$B$3:$B$784,0)),"no match"),"")</f>
        <v>13</v>
      </c>
    </row>
    <row r="18" spans="1:4">
      <c r="A18" s="110"/>
      <c r="B18" s="110"/>
      <c r="C18" s="109" t="str">
        <f>IF(AND($A18&lt;&gt;"",$B18&lt;&gt;""),IFERROR(MATCH(A18,'RA-RTP (2020)'!$B$1:$B$784,0),"no match"),"")</f>
        <v/>
      </c>
      <c r="D18" s="109" t="str">
        <f>IF(AND($A18&lt;&gt;"",$B18&lt;&gt;""),IFERROR(INDEX('RA-RTP (2020)'!$A$3:$A$784,MATCH(A18,'RA-RTP (2020)'!$B$3:$B$784,0)),"no match"),"")</f>
        <v/>
      </c>
    </row>
    <row r="19" spans="1:4">
      <c r="A19" s="108"/>
      <c r="B19" s="112"/>
      <c r="C19" s="109" t="str">
        <f>IF(AND($A19&lt;&gt;"",$B19&lt;&gt;""),IFERROR(MATCH(A19,'RA-RTP (2020)'!$B$1:$B$784,0),"no match"),"")</f>
        <v/>
      </c>
      <c r="D19" s="109" t="str">
        <f>IF(AND($A19&lt;&gt;"",$B19&lt;&gt;""),IFERROR(INDEX('RA-RTP (2020)'!$A$3:$A$784,MATCH(A19,'RA-RTP (2020)'!$B$3:$B$784,0)),"no match"),"")</f>
        <v/>
      </c>
    </row>
    <row r="20" spans="1:4">
      <c r="A20" s="108"/>
      <c r="B20" s="108"/>
      <c r="C20" s="109" t="str">
        <f>IF(AND($A20&lt;&gt;"",$B20&lt;&gt;""),IFERROR(MATCH(A20,'RA-RTP (2020)'!$B$1:$B$784,0),"no match"),"")</f>
        <v/>
      </c>
      <c r="D20" s="109" t="str">
        <f>IF(AND($A20&lt;&gt;"",$B20&lt;&gt;""),IFERROR(INDEX('RA-RTP (2020)'!$A$3:$A$784,MATCH(A20,'RA-RTP (2020)'!$B$3:$B$784,0)),"no match"),"")</f>
        <v/>
      </c>
    </row>
    <row r="21" spans="1:4">
      <c r="A21" s="110"/>
      <c r="B21" s="110"/>
      <c r="C21" s="109" t="str">
        <f>IF(AND($A21&lt;&gt;"",$B21&lt;&gt;""),IFERROR(MATCH(A21,'RA-RTP (2020)'!$B$1:$B$784,0),"no match"),"")</f>
        <v/>
      </c>
      <c r="D21" s="109" t="str">
        <f>IF(AND($A21&lt;&gt;"",$B21&lt;&gt;""),IFERROR(INDEX('RA-RTP (2020)'!$A$3:$A$784,MATCH(A21,'RA-RTP (2020)'!$B$3:$B$784,0)),"no match"),"")</f>
        <v/>
      </c>
    </row>
    <row r="22" spans="1:4">
      <c r="A22" s="108"/>
      <c r="B22" s="108"/>
      <c r="C22" s="109" t="str">
        <f>IF(AND($A22&lt;&gt;"",$B22&lt;&gt;""),IFERROR(MATCH(A22,'RA-RTP (2020)'!$B$1:$B$784,0),"no match"),"")</f>
        <v/>
      </c>
      <c r="D22" s="109" t="str">
        <f>IF(AND($A22&lt;&gt;"",$B22&lt;&gt;""),IFERROR(INDEX('RA-RTP (2020)'!$A$3:$A$784,MATCH(A22,'RA-RTP (2020)'!$B$3:$B$784,0)),"no match"),"")</f>
        <v/>
      </c>
    </row>
    <row r="23" spans="1:4">
      <c r="A23" s="108"/>
      <c r="B23" s="108"/>
      <c r="C23" s="109" t="str">
        <f>IF(AND($A23&lt;&gt;"",$B23&lt;&gt;""),IFERROR(MATCH(A23,'RA-RTP (2020)'!$B$1:$B$784,0),"no match"),"")</f>
        <v/>
      </c>
      <c r="D23" s="109" t="str">
        <f>IF(AND($A23&lt;&gt;"",$B23&lt;&gt;""),IFERROR(INDEX('RA-RTP (2020)'!$A$3:$A$784,MATCH(A23,'RA-RTP (2020)'!$B$3:$B$784,0)),"no match"),"")</f>
        <v/>
      </c>
    </row>
    <row r="24" spans="1:4">
      <c r="A24" s="108"/>
      <c r="B24" s="108"/>
      <c r="C24" s="109" t="str">
        <f>IF(AND($A24&lt;&gt;"",$B24&lt;&gt;""),IFERROR(MATCH(A24,'RA-RTP (2020)'!$B$1:$B$784,0),"no match"),"")</f>
        <v/>
      </c>
      <c r="D24" s="109" t="str">
        <f>IF(AND($A24&lt;&gt;"",$B24&lt;&gt;""),IFERROR(INDEX('RA-RTP (2020)'!$A$3:$A$784,MATCH(A24,'RA-RTP (2020)'!$B$3:$B$784,0)),"no match"),"")</f>
        <v/>
      </c>
    </row>
    <row r="25" spans="1:4">
      <c r="A25" s="108"/>
      <c r="B25" s="108"/>
      <c r="C25" s="109" t="str">
        <f>IF(AND($A25&lt;&gt;"",$B25&lt;&gt;""),IFERROR(MATCH(A25,'RA-RTP (2020)'!$B$1:$B$784,0),"no match"),"")</f>
        <v/>
      </c>
      <c r="D25" s="109" t="str">
        <f>IF(AND($A25&lt;&gt;"",$B25&lt;&gt;""),IFERROR(INDEX('RA-RTP (2020)'!$A$3:$A$784,MATCH(A25,'RA-RTP (2020)'!$B$3:$B$784,0)),"no match"),"")</f>
        <v/>
      </c>
    </row>
    <row r="26" spans="1:4">
      <c r="A26" s="108"/>
      <c r="B26" s="108"/>
      <c r="C26" s="109" t="str">
        <f>IF(AND($A26&lt;&gt;"",$B26&lt;&gt;""),IFERROR(MATCH(A26,'RA-RTP (2020)'!$B$1:$B$784,0),"no match"),"")</f>
        <v/>
      </c>
      <c r="D26" s="109" t="str">
        <f>IF(AND($A26&lt;&gt;"",$B26&lt;&gt;""),IFERROR(INDEX('RA-RTP (2020)'!$A$3:$A$784,MATCH(A26,'RA-RTP (2020)'!$B$3:$B$784,0)),"no match"),"")</f>
        <v/>
      </c>
    </row>
    <row r="27" spans="1:4">
      <c r="A27" s="108"/>
      <c r="B27" s="108"/>
      <c r="C27" s="109" t="str">
        <f>IF(AND($A27&lt;&gt;"",$B27&lt;&gt;""),IFERROR(MATCH(A27,'RA-RTP (2020)'!$B$1:$B$784,0),"no match"),"")</f>
        <v/>
      </c>
      <c r="D27" s="109" t="str">
        <f>IF(AND($A27&lt;&gt;"",$B27&lt;&gt;""),IFERROR(INDEX('RA-RTP (2020)'!$A$3:$A$784,MATCH(A27,'RA-RTP (2020)'!$B$3:$B$784,0)),"no match"),"")</f>
        <v/>
      </c>
    </row>
    <row r="28" spans="1:4">
      <c r="A28" s="108"/>
      <c r="B28" s="108"/>
      <c r="C28" s="109" t="str">
        <f>IF(AND($A28&lt;&gt;"",$B28&lt;&gt;""),IFERROR(MATCH(A28,'RA-RTP (2020)'!$B$1:$B$784,0),"no match"),"")</f>
        <v/>
      </c>
      <c r="D28" s="109" t="str">
        <f>IF(AND($A28&lt;&gt;"",$B28&lt;&gt;""),IFERROR(INDEX('RA-RTP (2020)'!$A$3:$A$784,MATCH(A28,'RA-RTP (2020)'!$B$3:$B$784,0)),"no match"),"")</f>
        <v/>
      </c>
    </row>
    <row r="29" spans="1:4">
      <c r="A29" s="108"/>
      <c r="B29" s="108"/>
      <c r="C29" s="109" t="str">
        <f>IF(AND($A29&lt;&gt;"",$B29&lt;&gt;""),IFERROR(MATCH(A29,'RA-RTP (2020)'!$B$1:$B$784,0),"no match"),"")</f>
        <v/>
      </c>
      <c r="D29" s="109" t="str">
        <f>IF(AND($A29&lt;&gt;"",$B29&lt;&gt;""),IFERROR(INDEX('RA-RTP (2020)'!$A$3:$A$784,MATCH(A29,'RA-RTP (2020)'!$B$3:$B$784,0)),"no match"),"")</f>
        <v/>
      </c>
    </row>
    <row r="30" spans="1:4">
      <c r="A30" s="108"/>
      <c r="B30" s="111"/>
      <c r="C30" s="109" t="str">
        <f>IF(AND($A30&lt;&gt;"",$B30&lt;&gt;""),IFERROR(MATCH(A30,'RA-RTP (2020)'!$B$1:$B$784,0),"no match"),"")</f>
        <v/>
      </c>
      <c r="D30" s="109" t="str">
        <f>IF(AND($A30&lt;&gt;"",$B30&lt;&gt;""),IFERROR(INDEX('RA-RTP (2020)'!$A$3:$A$784,MATCH(A30,'RA-RTP (2020)'!$B$3:$B$784,0)),"no match"),"")</f>
        <v/>
      </c>
    </row>
    <row r="31" spans="1:4">
      <c r="A31" s="110"/>
      <c r="B31" s="110"/>
      <c r="C31" s="109" t="str">
        <f>IF(AND($A31&lt;&gt;"",$B31&lt;&gt;""),IFERROR(MATCH(A31,'RA-RTP (2020)'!$B$1:$B$784,0),"no match"),"")</f>
        <v/>
      </c>
      <c r="D31" s="109" t="str">
        <f>IF(AND($A31&lt;&gt;"",$B31&lt;&gt;""),IFERROR(INDEX('RA-RTP (2020)'!$A$3:$A$784,MATCH(A31,'RA-RTP (2020)'!$B$3:$B$784,0)),"no match"),"")</f>
        <v/>
      </c>
    </row>
    <row r="32" spans="1:4">
      <c r="A32" s="110"/>
      <c r="B32" s="110"/>
      <c r="C32" s="109" t="str">
        <f>IF(AND($A32&lt;&gt;"",$B32&lt;&gt;""),IFERROR(MATCH(A32,'RA-RTP (2020)'!$B$1:$B$784,0),"no match"),"")</f>
        <v/>
      </c>
      <c r="D32" s="109" t="str">
        <f>IF(AND($A32&lt;&gt;"",$B32&lt;&gt;""),IFERROR(INDEX('RA-RTP (2020)'!$A$3:$A$784,MATCH(A32,'RA-RTP (2020)'!$B$3:$B$784,0)),"no match"),"")</f>
        <v/>
      </c>
    </row>
    <row r="33" spans="1:4">
      <c r="A33" s="110"/>
      <c r="B33" s="110"/>
      <c r="C33" s="109" t="str">
        <f>IF(AND($A33&lt;&gt;"",$B33&lt;&gt;""),IFERROR(MATCH(A33,'RA-RTP (2020)'!$B$1:$B$784,0),"no match"),"")</f>
        <v/>
      </c>
      <c r="D33" s="109" t="str">
        <f>IF(AND($A33&lt;&gt;"",$B33&lt;&gt;""),IFERROR(INDEX('RA-RTP (2020)'!$A$3:$A$784,MATCH(A33,'RA-RTP (2020)'!$B$3:$B$784,0)),"no match"),"")</f>
        <v/>
      </c>
    </row>
    <row r="34" spans="1:4">
      <c r="A34" s="110"/>
      <c r="B34" s="110"/>
      <c r="C34" s="109" t="str">
        <f>IF(AND($A34&lt;&gt;"",$B34&lt;&gt;""),IFERROR(MATCH(A34,'RA-RTP (2020)'!$B$1:$B$784,0),"no match"),"")</f>
        <v/>
      </c>
      <c r="D34" s="109" t="str">
        <f>IF(AND($A34&lt;&gt;"",$B34&lt;&gt;""),IFERROR(INDEX('RA-RTP (2020)'!$A$3:$A$784,MATCH(A34,'RA-RTP (2020)'!$B$3:$B$784,0)),"no match"),"")</f>
        <v/>
      </c>
    </row>
    <row r="35" spans="1:4">
      <c r="A35" s="110"/>
      <c r="B35" s="110"/>
      <c r="C35" s="109" t="str">
        <f>IF(AND($A35&lt;&gt;"",$B35&lt;&gt;""),IFERROR(MATCH(A35,'RA-RTP (2020)'!$B$1:$B$784,0),"no match"),"")</f>
        <v/>
      </c>
      <c r="D35" s="109" t="str">
        <f>IF(AND($A35&lt;&gt;"",$B35&lt;&gt;""),IFERROR(INDEX('RA-RTP (2020)'!$A$3:$A$784,MATCH(A35,'RA-RTP (2020)'!$B$3:$B$784,0)),"no match"),"")</f>
        <v/>
      </c>
    </row>
    <row r="36" spans="1:4">
      <c r="A36" s="110"/>
      <c r="B36" s="110"/>
      <c r="C36" s="109" t="str">
        <f>IF(AND($A36&lt;&gt;"",$B36&lt;&gt;""),IFERROR(MATCH(A36,'RA-RTP (2020)'!$B$1:$B$784,0),"no match"),"")</f>
        <v/>
      </c>
      <c r="D36" s="109" t="str">
        <f>IF(AND($A36&lt;&gt;"",$B36&lt;&gt;""),IFERROR(INDEX('RA-RTP (2020)'!$A$3:$A$784,MATCH(A36,'RA-RTP (2020)'!$B$3:$B$784,0)),"no match"),"")</f>
        <v/>
      </c>
    </row>
    <row r="37" spans="1:4">
      <c r="A37" s="110"/>
      <c r="B37" s="110"/>
      <c r="C37" s="109" t="str">
        <f>IF(AND($A37&lt;&gt;"",$B37&lt;&gt;""),IFERROR(MATCH(A37,'RA-RTP (2020)'!$B$1:$B$784,0),"no match"),"")</f>
        <v/>
      </c>
      <c r="D37" s="109" t="str">
        <f>IF(AND($A37&lt;&gt;"",$B37&lt;&gt;""),IFERROR(INDEX('RA-RTP (2020)'!$A$3:$A$784,MATCH(A37,'RA-RTP (2020)'!$B$3:$B$784,0)),"no match"),"")</f>
        <v/>
      </c>
    </row>
  </sheetData>
  <autoFilter ref="A1:D31">
    <sortState ref="A2:D31">
      <sortCondition ref="A2:A31"/>
    </sortState>
  </autoFilter>
  <sortState ref="A2:D17">
    <sortCondition ref="A2:A17"/>
  </sortState>
  <pageMargins left="0.70866141732283472" right="0.70866141732283472" top="0.74803149606299213" bottom="0.74803149606299213" header="0.31496062992125984" footer="0.31496062992125984"/>
  <pageSetup paperSize="9" scale="84" fitToHeight="0"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sheetPr>
  <dimension ref="A1:B148"/>
  <sheetViews>
    <sheetView showGridLines="0" topLeftCell="A41" zoomScaleNormal="100" workbookViewId="0">
      <selection activeCell="B49" sqref="B49"/>
    </sheetView>
  </sheetViews>
  <sheetFormatPr defaultColWidth="9.140625" defaultRowHeight="15"/>
  <cols>
    <col min="1" max="1" width="4.42578125" style="1" customWidth="1"/>
    <col min="2" max="2" width="112.42578125" style="1" customWidth="1"/>
    <col min="3" max="16384" width="9.140625" style="1"/>
  </cols>
  <sheetData>
    <row r="1" spans="1:2" ht="15.75">
      <c r="A1" s="4" t="s">
        <v>9</v>
      </c>
    </row>
    <row r="3" spans="1:2">
      <c r="A3" s="5" t="s">
        <v>433</v>
      </c>
    </row>
    <row r="5" spans="1:2">
      <c r="B5" s="1" t="s">
        <v>10</v>
      </c>
    </row>
    <row r="6" spans="1:2">
      <c r="B6" s="1" t="s">
        <v>11</v>
      </c>
    </row>
    <row r="7" spans="1:2">
      <c r="B7" s="1" t="s">
        <v>12</v>
      </c>
    </row>
    <row r="8" spans="1:2">
      <c r="B8" s="1" t="s">
        <v>13</v>
      </c>
    </row>
    <row r="9" spans="1:2">
      <c r="B9" s="1" t="s">
        <v>14</v>
      </c>
    </row>
    <row r="10" spans="1:2">
      <c r="B10" s="1" t="s">
        <v>15</v>
      </c>
    </row>
    <row r="11" spans="1:2">
      <c r="B11" s="1" t="s">
        <v>16</v>
      </c>
    </row>
    <row r="12" spans="1:2">
      <c r="B12" s="1" t="s">
        <v>17</v>
      </c>
    </row>
    <row r="13" spans="1:2">
      <c r="B13" s="1" t="s">
        <v>18</v>
      </c>
    </row>
    <row r="14" spans="1:2">
      <c r="B14" s="1" t="s">
        <v>19</v>
      </c>
    </row>
    <row r="15" spans="1:2">
      <c r="B15" s="1" t="s">
        <v>20</v>
      </c>
    </row>
    <row r="16" spans="1:2">
      <c r="B16" s="1" t="s">
        <v>21</v>
      </c>
    </row>
    <row r="17" spans="2:2">
      <c r="B17" s="1" t="s">
        <v>22</v>
      </c>
    </row>
    <row r="18" spans="2:2">
      <c r="B18" s="1" t="s">
        <v>23</v>
      </c>
    </row>
    <row r="19" spans="2:2">
      <c r="B19" s="1" t="s">
        <v>24</v>
      </c>
    </row>
    <row r="20" spans="2:2">
      <c r="B20" s="1" t="s">
        <v>25</v>
      </c>
    </row>
    <row r="21" spans="2:2">
      <c r="B21" s="1" t="s">
        <v>26</v>
      </c>
    </row>
    <row r="22" spans="2:2">
      <c r="B22" s="1" t="s">
        <v>27</v>
      </c>
    </row>
    <row r="23" spans="2:2">
      <c r="B23" s="1" t="s">
        <v>28</v>
      </c>
    </row>
    <row r="24" spans="2:2">
      <c r="B24" s="1" t="s">
        <v>29</v>
      </c>
    </row>
    <row r="25" spans="2:2">
      <c r="B25" s="1" t="s">
        <v>112</v>
      </c>
    </row>
    <row r="26" spans="2:2">
      <c r="B26" s="1" t="s">
        <v>30</v>
      </c>
    </row>
    <row r="27" spans="2:2">
      <c r="B27" s="1" t="s">
        <v>31</v>
      </c>
    </row>
    <row r="28" spans="2:2">
      <c r="B28" s="1" t="s">
        <v>32</v>
      </c>
    </row>
    <row r="29" spans="2:2">
      <c r="B29" s="1" t="s">
        <v>33</v>
      </c>
    </row>
    <row r="30" spans="2:2">
      <c r="B30" s="1" t="s">
        <v>34</v>
      </c>
    </row>
    <row r="31" spans="2:2">
      <c r="B31" s="1" t="s">
        <v>35</v>
      </c>
    </row>
    <row r="32" spans="2:2">
      <c r="B32" s="1" t="s">
        <v>36</v>
      </c>
    </row>
    <row r="33" spans="2:2">
      <c r="B33" s="1" t="s">
        <v>37</v>
      </c>
    </row>
    <row r="34" spans="2:2">
      <c r="B34" s="1" t="s">
        <v>38</v>
      </c>
    </row>
    <row r="35" spans="2:2">
      <c r="B35" s="1" t="s">
        <v>39</v>
      </c>
    </row>
    <row r="36" spans="2:2">
      <c r="B36" s="1" t="s">
        <v>40</v>
      </c>
    </row>
    <row r="37" spans="2:2">
      <c r="B37" s="1" t="s">
        <v>41</v>
      </c>
    </row>
    <row r="38" spans="2:2">
      <c r="B38" s="1" t="s">
        <v>42</v>
      </c>
    </row>
    <row r="39" spans="2:2">
      <c r="B39" s="1" t="s">
        <v>43</v>
      </c>
    </row>
    <row r="40" spans="2:2">
      <c r="B40" s="1" t="s">
        <v>44</v>
      </c>
    </row>
    <row r="41" spans="2:2">
      <c r="B41" s="1" t="s">
        <v>45</v>
      </c>
    </row>
    <row r="42" spans="2:2">
      <c r="B42" s="1" t="s">
        <v>46</v>
      </c>
    </row>
    <row r="43" spans="2:2">
      <c r="B43" s="1" t="s">
        <v>47</v>
      </c>
    </row>
    <row r="44" spans="2:2">
      <c r="B44" s="1" t="s">
        <v>48</v>
      </c>
    </row>
    <row r="45" spans="2:2">
      <c r="B45" s="1" t="s">
        <v>49</v>
      </c>
    </row>
    <row r="46" spans="2:2">
      <c r="B46" s="1" t="s">
        <v>50</v>
      </c>
    </row>
    <row r="47" spans="2:2">
      <c r="B47" s="1" t="s">
        <v>51</v>
      </c>
    </row>
    <row r="48" spans="2:2">
      <c r="B48" s="1" t="s">
        <v>52</v>
      </c>
    </row>
    <row r="49" spans="1:2">
      <c r="B49" s="1" t="s">
        <v>53</v>
      </c>
    </row>
    <row r="50" spans="1:2">
      <c r="B50" s="1" t="s">
        <v>54</v>
      </c>
    </row>
    <row r="51" spans="1:2">
      <c r="B51" s="1" t="s">
        <v>55</v>
      </c>
    </row>
    <row r="52" spans="1:2">
      <c r="B52" s="1" t="s">
        <v>56</v>
      </c>
    </row>
    <row r="53" spans="1:2">
      <c r="A53" s="67" t="s">
        <v>452</v>
      </c>
      <c r="B53" s="1" t="s">
        <v>454</v>
      </c>
    </row>
    <row r="54" spans="1:2">
      <c r="A54" s="67" t="s">
        <v>452</v>
      </c>
      <c r="B54" s="1" t="s">
        <v>455</v>
      </c>
    </row>
    <row r="55" spans="1:2">
      <c r="A55" s="67" t="s">
        <v>452</v>
      </c>
      <c r="B55" s="1" t="s">
        <v>456</v>
      </c>
    </row>
    <row r="56" spans="1:2">
      <c r="A56" s="67" t="s">
        <v>452</v>
      </c>
      <c r="B56" s="1" t="s">
        <v>457</v>
      </c>
    </row>
    <row r="57" spans="1:2">
      <c r="A57" s="67" t="s">
        <v>452</v>
      </c>
      <c r="B57" s="1" t="s">
        <v>458</v>
      </c>
    </row>
    <row r="58" spans="1:2">
      <c r="A58" s="67" t="s">
        <v>452</v>
      </c>
      <c r="B58" s="1" t="s">
        <v>459</v>
      </c>
    </row>
    <row r="59" spans="1:2">
      <c r="A59" s="67" t="s">
        <v>452</v>
      </c>
      <c r="B59" s="1" t="s">
        <v>460</v>
      </c>
    </row>
    <row r="60" spans="1:2">
      <c r="A60" s="67" t="s">
        <v>452</v>
      </c>
      <c r="B60" s="1" t="s">
        <v>461</v>
      </c>
    </row>
    <row r="61" spans="1:2">
      <c r="A61" s="67" t="s">
        <v>452</v>
      </c>
      <c r="B61" s="1" t="s">
        <v>462</v>
      </c>
    </row>
    <row r="62" spans="1:2">
      <c r="A62" s="67" t="s">
        <v>452</v>
      </c>
      <c r="B62" s="1" t="s">
        <v>463</v>
      </c>
    </row>
    <row r="63" spans="1:2">
      <c r="A63" s="67" t="s">
        <v>452</v>
      </c>
      <c r="B63" s="1" t="s">
        <v>464</v>
      </c>
    </row>
    <row r="64" spans="1:2">
      <c r="A64" s="67" t="s">
        <v>452</v>
      </c>
      <c r="B64" s="1" t="s">
        <v>465</v>
      </c>
    </row>
    <row r="65" spans="1:2">
      <c r="A65" s="67" t="s">
        <v>467</v>
      </c>
      <c r="B65" s="1" t="s">
        <v>466</v>
      </c>
    </row>
    <row r="66" spans="1:2">
      <c r="A66" s="67" t="s">
        <v>467</v>
      </c>
      <c r="B66" s="1" t="s">
        <v>468</v>
      </c>
    </row>
    <row r="67" spans="1:2">
      <c r="A67" s="67" t="s">
        <v>467</v>
      </c>
      <c r="B67" s="1" t="s">
        <v>469</v>
      </c>
    </row>
    <row r="68" spans="1:2">
      <c r="A68" s="67" t="s">
        <v>467</v>
      </c>
      <c r="B68" s="1" t="s">
        <v>470</v>
      </c>
    </row>
    <row r="69" spans="1:2">
      <c r="A69" s="67" t="s">
        <v>467</v>
      </c>
      <c r="B69" s="1" t="s">
        <v>471</v>
      </c>
    </row>
    <row r="70" spans="1:2">
      <c r="A70" s="67" t="s">
        <v>467</v>
      </c>
      <c r="B70" s="1" t="s">
        <v>472</v>
      </c>
    </row>
    <row r="71" spans="1:2">
      <c r="A71" s="67" t="s">
        <v>467</v>
      </c>
      <c r="B71" s="1" t="s">
        <v>473</v>
      </c>
    </row>
    <row r="72" spans="1:2">
      <c r="A72" s="67" t="s">
        <v>467</v>
      </c>
      <c r="B72" s="1" t="s">
        <v>474</v>
      </c>
    </row>
    <row r="73" spans="1:2">
      <c r="A73" s="67" t="s">
        <v>467</v>
      </c>
      <c r="B73" s="1" t="s">
        <v>475</v>
      </c>
    </row>
    <row r="74" spans="1:2">
      <c r="A74" s="67" t="s">
        <v>467</v>
      </c>
      <c r="B74" s="1" t="s">
        <v>476</v>
      </c>
    </row>
    <row r="75" spans="1:2">
      <c r="A75" s="67" t="s">
        <v>467</v>
      </c>
      <c r="B75" s="1" t="s">
        <v>477</v>
      </c>
    </row>
    <row r="76" spans="1:2">
      <c r="A76" s="67" t="s">
        <v>467</v>
      </c>
      <c r="B76" s="1" t="s">
        <v>478</v>
      </c>
    </row>
    <row r="77" spans="1:2">
      <c r="A77" s="67" t="s">
        <v>467</v>
      </c>
      <c r="B77" s="1" t="s">
        <v>479</v>
      </c>
    </row>
    <row r="78" spans="1:2">
      <c r="A78" s="67" t="s">
        <v>467</v>
      </c>
      <c r="B78" s="1" t="s">
        <v>480</v>
      </c>
    </row>
    <row r="79" spans="1:2">
      <c r="A79" s="67" t="s">
        <v>467</v>
      </c>
      <c r="B79" s="1" t="s">
        <v>481</v>
      </c>
    </row>
    <row r="80" spans="1:2">
      <c r="A80" s="67" t="s">
        <v>467</v>
      </c>
      <c r="B80" s="1" t="s">
        <v>482</v>
      </c>
    </row>
    <row r="81" spans="1:2">
      <c r="A81" s="67" t="s">
        <v>467</v>
      </c>
      <c r="B81" s="1" t="s">
        <v>483</v>
      </c>
    </row>
    <row r="82" spans="1:2">
      <c r="A82" s="67" t="s">
        <v>467</v>
      </c>
      <c r="B82" s="1" t="s">
        <v>484</v>
      </c>
    </row>
    <row r="83" spans="1:2">
      <c r="A83" s="67" t="s">
        <v>467</v>
      </c>
      <c r="B83" s="1" t="s">
        <v>485</v>
      </c>
    </row>
    <row r="84" spans="1:2">
      <c r="A84" s="67" t="s">
        <v>467</v>
      </c>
      <c r="B84" s="1" t="s">
        <v>486</v>
      </c>
    </row>
    <row r="85" spans="1:2">
      <c r="A85" s="67" t="s">
        <v>467</v>
      </c>
      <c r="B85" s="1" t="s">
        <v>487</v>
      </c>
    </row>
    <row r="86" spans="1:2">
      <c r="A86" s="67" t="s">
        <v>467</v>
      </c>
      <c r="B86" s="1" t="s">
        <v>488</v>
      </c>
    </row>
    <row r="87" spans="1:2">
      <c r="A87" s="67" t="s">
        <v>467</v>
      </c>
      <c r="B87" s="1" t="s">
        <v>489</v>
      </c>
    </row>
    <row r="88" spans="1:2">
      <c r="A88" s="67" t="s">
        <v>467</v>
      </c>
      <c r="B88" s="1" t="s">
        <v>490</v>
      </c>
    </row>
    <row r="89" spans="1:2">
      <c r="A89" s="67" t="s">
        <v>467</v>
      </c>
      <c r="B89" s="1" t="s">
        <v>491</v>
      </c>
    </row>
    <row r="90" spans="1:2">
      <c r="A90" s="67" t="s">
        <v>467</v>
      </c>
      <c r="B90" s="1" t="s">
        <v>492</v>
      </c>
    </row>
    <row r="91" spans="1:2">
      <c r="A91" s="67" t="s">
        <v>467</v>
      </c>
      <c r="B91" s="1" t="s">
        <v>493</v>
      </c>
    </row>
    <row r="92" spans="1:2">
      <c r="A92" s="67" t="s">
        <v>467</v>
      </c>
      <c r="B92" s="1" t="s">
        <v>494</v>
      </c>
    </row>
    <row r="93" spans="1:2">
      <c r="A93" s="67" t="s">
        <v>467</v>
      </c>
      <c r="B93" s="1" t="s">
        <v>495</v>
      </c>
    </row>
    <row r="94" spans="1:2">
      <c r="A94" s="67" t="s">
        <v>467</v>
      </c>
      <c r="B94" s="1" t="s">
        <v>496</v>
      </c>
    </row>
    <row r="95" spans="1:2">
      <c r="A95" s="67" t="s">
        <v>467</v>
      </c>
      <c r="B95" s="1" t="s">
        <v>497</v>
      </c>
    </row>
    <row r="96" spans="1:2">
      <c r="A96" s="67" t="s">
        <v>467</v>
      </c>
      <c r="B96" s="1" t="s">
        <v>498</v>
      </c>
    </row>
    <row r="97" spans="1:2">
      <c r="A97" s="67" t="s">
        <v>467</v>
      </c>
      <c r="B97" s="1" t="s">
        <v>499</v>
      </c>
    </row>
    <row r="98" spans="1:2">
      <c r="A98" s="67" t="s">
        <v>467</v>
      </c>
      <c r="B98" s="1" t="s">
        <v>500</v>
      </c>
    </row>
    <row r="99" spans="1:2">
      <c r="A99" s="67" t="s">
        <v>467</v>
      </c>
      <c r="B99" s="1" t="s">
        <v>501</v>
      </c>
    </row>
    <row r="100" spans="1:2">
      <c r="A100" s="67" t="s">
        <v>467</v>
      </c>
      <c r="B100" s="1" t="s">
        <v>502</v>
      </c>
    </row>
    <row r="101" spans="1:2">
      <c r="A101" s="67" t="s">
        <v>467</v>
      </c>
      <c r="B101" s="1" t="s">
        <v>503</v>
      </c>
    </row>
    <row r="102" spans="1:2">
      <c r="A102" s="67" t="s">
        <v>467</v>
      </c>
      <c r="B102" s="1" t="s">
        <v>504</v>
      </c>
    </row>
    <row r="103" spans="1:2">
      <c r="A103" s="67" t="s">
        <v>467</v>
      </c>
      <c r="B103" s="1" t="s">
        <v>505</v>
      </c>
    </row>
    <row r="104" spans="1:2">
      <c r="A104" s="67" t="s">
        <v>467</v>
      </c>
      <c r="B104" s="1" t="s">
        <v>506</v>
      </c>
    </row>
    <row r="105" spans="1:2">
      <c r="A105" s="67" t="s">
        <v>467</v>
      </c>
      <c r="B105" s="1" t="s">
        <v>507</v>
      </c>
    </row>
    <row r="106" spans="1:2">
      <c r="A106" s="67" t="s">
        <v>467</v>
      </c>
      <c r="B106" s="1" t="s">
        <v>508</v>
      </c>
    </row>
    <row r="107" spans="1:2">
      <c r="A107" s="67" t="s">
        <v>467</v>
      </c>
      <c r="B107" s="1" t="s">
        <v>509</v>
      </c>
    </row>
    <row r="108" spans="1:2">
      <c r="A108" s="67" t="s">
        <v>467</v>
      </c>
      <c r="B108" s="1" t="s">
        <v>510</v>
      </c>
    </row>
    <row r="109" spans="1:2">
      <c r="A109" s="67" t="s">
        <v>467</v>
      </c>
      <c r="B109" s="1" t="s">
        <v>511</v>
      </c>
    </row>
    <row r="110" spans="1:2">
      <c r="A110" s="67" t="s">
        <v>467</v>
      </c>
      <c r="B110" s="1" t="s">
        <v>512</v>
      </c>
    </row>
    <row r="111" spans="1:2">
      <c r="A111" s="67" t="s">
        <v>467</v>
      </c>
      <c r="B111" s="1" t="s">
        <v>513</v>
      </c>
    </row>
    <row r="112" spans="1:2">
      <c r="A112" s="67" t="s">
        <v>467</v>
      </c>
      <c r="B112" s="1" t="s">
        <v>514</v>
      </c>
    </row>
    <row r="113" spans="1:2">
      <c r="A113" s="67" t="s">
        <v>467</v>
      </c>
      <c r="B113" s="1" t="s">
        <v>515</v>
      </c>
    </row>
    <row r="114" spans="1:2">
      <c r="A114" s="67" t="s">
        <v>467</v>
      </c>
      <c r="B114" s="1" t="s">
        <v>516</v>
      </c>
    </row>
    <row r="115" spans="1:2">
      <c r="A115" s="67" t="s">
        <v>467</v>
      </c>
      <c r="B115" s="1" t="s">
        <v>517</v>
      </c>
    </row>
    <row r="116" spans="1:2">
      <c r="A116" s="67" t="s">
        <v>467</v>
      </c>
      <c r="B116" s="1" t="s">
        <v>518</v>
      </c>
    </row>
    <row r="117" spans="1:2">
      <c r="A117" s="67" t="s">
        <v>467</v>
      </c>
      <c r="B117" s="1" t="s">
        <v>519</v>
      </c>
    </row>
    <row r="118" spans="1:2">
      <c r="A118" s="67" t="s">
        <v>467</v>
      </c>
      <c r="B118" s="1" t="s">
        <v>520</v>
      </c>
    </row>
    <row r="119" spans="1:2">
      <c r="A119" s="67" t="s">
        <v>467</v>
      </c>
      <c r="B119" s="1" t="s">
        <v>521</v>
      </c>
    </row>
    <row r="120" spans="1:2">
      <c r="A120" s="67" t="s">
        <v>467</v>
      </c>
      <c r="B120" s="1" t="s">
        <v>522</v>
      </c>
    </row>
    <row r="121" spans="1:2">
      <c r="A121" s="67" t="s">
        <v>467</v>
      </c>
      <c r="B121" s="1" t="s">
        <v>523</v>
      </c>
    </row>
    <row r="122" spans="1:2">
      <c r="A122" s="67" t="s">
        <v>467</v>
      </c>
      <c r="B122" s="1" t="s">
        <v>524</v>
      </c>
    </row>
    <row r="123" spans="1:2">
      <c r="A123" s="67" t="s">
        <v>467</v>
      </c>
      <c r="B123" s="1" t="s">
        <v>525</v>
      </c>
    </row>
    <row r="124" spans="1:2">
      <c r="A124" s="67" t="s">
        <v>467</v>
      </c>
      <c r="B124" s="1" t="s">
        <v>526</v>
      </c>
    </row>
    <row r="125" spans="1:2">
      <c r="A125" s="67" t="s">
        <v>467</v>
      </c>
      <c r="B125" s="1" t="s">
        <v>527</v>
      </c>
    </row>
    <row r="126" spans="1:2">
      <c r="A126" s="67" t="s">
        <v>467</v>
      </c>
      <c r="B126" s="1" t="s">
        <v>528</v>
      </c>
    </row>
    <row r="127" spans="1:2">
      <c r="A127" s="67" t="s">
        <v>467</v>
      </c>
      <c r="B127" s="1" t="s">
        <v>529</v>
      </c>
    </row>
    <row r="128" spans="1:2">
      <c r="A128" s="67" t="s">
        <v>467</v>
      </c>
      <c r="B128" s="1" t="s">
        <v>530</v>
      </c>
    </row>
    <row r="129" spans="1:2">
      <c r="A129" s="67" t="s">
        <v>467</v>
      </c>
      <c r="B129" s="1" t="s">
        <v>531</v>
      </c>
    </row>
    <row r="130" spans="1:2">
      <c r="A130" s="67" t="s">
        <v>467</v>
      </c>
      <c r="B130" s="1" t="s">
        <v>532</v>
      </c>
    </row>
    <row r="131" spans="1:2">
      <c r="A131" s="67" t="s">
        <v>467</v>
      </c>
      <c r="B131" s="1" t="s">
        <v>533</v>
      </c>
    </row>
    <row r="132" spans="1:2">
      <c r="A132" s="67" t="s">
        <v>467</v>
      </c>
      <c r="B132" s="1" t="s">
        <v>534</v>
      </c>
    </row>
    <row r="133" spans="1:2">
      <c r="A133" s="67" t="s">
        <v>467</v>
      </c>
      <c r="B133" s="1" t="s">
        <v>535</v>
      </c>
    </row>
    <row r="134" spans="1:2">
      <c r="A134" s="67" t="s">
        <v>467</v>
      </c>
      <c r="B134" s="1" t="s">
        <v>536</v>
      </c>
    </row>
    <row r="135" spans="1:2">
      <c r="A135" s="67" t="s">
        <v>467</v>
      </c>
      <c r="B135" s="1" t="s">
        <v>537</v>
      </c>
    </row>
    <row r="136" spans="1:2">
      <c r="A136" s="67" t="s">
        <v>467</v>
      </c>
      <c r="B136" s="1" t="s">
        <v>538</v>
      </c>
    </row>
    <row r="137" spans="1:2">
      <c r="A137" s="67" t="s">
        <v>467</v>
      </c>
      <c r="B137" s="1" t="s">
        <v>539</v>
      </c>
    </row>
    <row r="138" spans="1:2">
      <c r="A138" s="67" t="s">
        <v>467</v>
      </c>
      <c r="B138" s="1" t="s">
        <v>540</v>
      </c>
    </row>
    <row r="139" spans="1:2">
      <c r="A139" s="67" t="s">
        <v>467</v>
      </c>
      <c r="B139" s="1" t="s">
        <v>541</v>
      </c>
    </row>
    <row r="140" spans="1:2">
      <c r="A140" s="67" t="s">
        <v>467</v>
      </c>
      <c r="B140" s="1" t="s">
        <v>542</v>
      </c>
    </row>
    <row r="141" spans="1:2">
      <c r="A141" s="67" t="s">
        <v>467</v>
      </c>
      <c r="B141" s="1" t="s">
        <v>543</v>
      </c>
    </row>
    <row r="142" spans="1:2">
      <c r="A142" s="67" t="s">
        <v>467</v>
      </c>
      <c r="B142" s="1" t="s">
        <v>544</v>
      </c>
    </row>
    <row r="143" spans="1:2">
      <c r="A143" s="67" t="s">
        <v>467</v>
      </c>
      <c r="B143" s="1" t="s">
        <v>545</v>
      </c>
    </row>
    <row r="144" spans="1:2">
      <c r="A144" s="67" t="s">
        <v>467</v>
      </c>
      <c r="B144" s="1" t="s">
        <v>546</v>
      </c>
    </row>
    <row r="145" spans="1:2">
      <c r="A145" s="67" t="s">
        <v>467</v>
      </c>
      <c r="B145" s="1" t="s">
        <v>547</v>
      </c>
    </row>
    <row r="146" spans="1:2">
      <c r="A146" s="67" t="s">
        <v>467</v>
      </c>
      <c r="B146" s="1" t="s">
        <v>548</v>
      </c>
    </row>
    <row r="147" spans="1:2">
      <c r="A147" s="67" t="s">
        <v>467</v>
      </c>
      <c r="B147" s="1" t="s">
        <v>549</v>
      </c>
    </row>
    <row r="148" spans="1:2">
      <c r="A148" s="67" t="s">
        <v>467</v>
      </c>
      <c r="B148" s="1" t="s">
        <v>550</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sheetPr>
  <dimension ref="A1:B55"/>
  <sheetViews>
    <sheetView showGridLines="0" zoomScaleNormal="100" workbookViewId="0">
      <selection activeCell="B9" sqref="B9"/>
    </sheetView>
  </sheetViews>
  <sheetFormatPr defaultColWidth="9.140625" defaultRowHeight="15"/>
  <cols>
    <col min="1" max="1" width="3.7109375" style="1" customWidth="1"/>
    <col min="2" max="2" width="65.140625" style="1" customWidth="1"/>
    <col min="3" max="16384" width="9.140625" style="1"/>
  </cols>
  <sheetData>
    <row r="1" spans="1:2" ht="15.75">
      <c r="A1" s="4" t="s">
        <v>57</v>
      </c>
    </row>
    <row r="3" spans="1:2">
      <c r="A3" s="5" t="s">
        <v>58</v>
      </c>
    </row>
    <row r="4" spans="1:2">
      <c r="A4" s="5" t="s">
        <v>59</v>
      </c>
    </row>
    <row r="5" spans="1:2">
      <c r="A5" s="5"/>
    </row>
    <row r="6" spans="1:2">
      <c r="B6" s="1" t="s">
        <v>60</v>
      </c>
    </row>
    <row r="7" spans="1:2">
      <c r="B7" s="1" t="s">
        <v>61</v>
      </c>
    </row>
    <row r="8" spans="1:2">
      <c r="B8" s="1" t="s">
        <v>62</v>
      </c>
    </row>
    <row r="9" spans="1:2">
      <c r="B9" s="1" t="s">
        <v>63</v>
      </c>
    </row>
    <row r="10" spans="1:2">
      <c r="B10" s="1" t="s">
        <v>64</v>
      </c>
    </row>
    <row r="11" spans="1:2">
      <c r="B11" s="1" t="s">
        <v>65</v>
      </c>
    </row>
    <row r="12" spans="1:2">
      <c r="B12" s="1" t="s">
        <v>66</v>
      </c>
    </row>
    <row r="13" spans="1:2">
      <c r="B13" s="1" t="s">
        <v>67</v>
      </c>
    </row>
    <row r="14" spans="1:2">
      <c r="B14" s="1" t="s">
        <v>68</v>
      </c>
    </row>
    <row r="15" spans="1:2">
      <c r="B15" s="1" t="s">
        <v>69</v>
      </c>
    </row>
    <row r="16" spans="1:2">
      <c r="B16" s="1" t="s">
        <v>70</v>
      </c>
    </row>
    <row r="17" spans="2:2">
      <c r="B17" s="1" t="s">
        <v>71</v>
      </c>
    </row>
    <row r="18" spans="2:2">
      <c r="B18" s="1" t="s">
        <v>72</v>
      </c>
    </row>
    <row r="19" spans="2:2">
      <c r="B19" s="1" t="s">
        <v>73</v>
      </c>
    </row>
    <row r="20" spans="2:2">
      <c r="B20" s="1" t="s">
        <v>74</v>
      </c>
    </row>
    <row r="21" spans="2:2">
      <c r="B21" s="1" t="s">
        <v>75</v>
      </c>
    </row>
    <row r="22" spans="2:2">
      <c r="B22" s="1" t="s">
        <v>76</v>
      </c>
    </row>
    <row r="23" spans="2:2">
      <c r="B23" s="1" t="s">
        <v>77</v>
      </c>
    </row>
    <row r="24" spans="2:2">
      <c r="B24" s="1" t="s">
        <v>78</v>
      </c>
    </row>
    <row r="25" spans="2:2">
      <c r="B25" s="1" t="s">
        <v>79</v>
      </c>
    </row>
    <row r="26" spans="2:2">
      <c r="B26" s="1" t="s">
        <v>80</v>
      </c>
    </row>
    <row r="27" spans="2:2">
      <c r="B27" s="1" t="s">
        <v>81</v>
      </c>
    </row>
    <row r="28" spans="2:2">
      <c r="B28" s="1" t="s">
        <v>82</v>
      </c>
    </row>
    <row r="29" spans="2:2">
      <c r="B29" s="1" t="s">
        <v>83</v>
      </c>
    </row>
    <row r="30" spans="2:2">
      <c r="B30" s="1" t="s">
        <v>84</v>
      </c>
    </row>
    <row r="31" spans="2:2">
      <c r="B31" s="1" t="s">
        <v>85</v>
      </c>
    </row>
    <row r="32" spans="2:2">
      <c r="B32" s="1" t="s">
        <v>86</v>
      </c>
    </row>
    <row r="33" spans="2:2">
      <c r="B33" s="1" t="s">
        <v>87</v>
      </c>
    </row>
    <row r="34" spans="2:2">
      <c r="B34" s="1" t="s">
        <v>88</v>
      </c>
    </row>
    <row r="35" spans="2:2">
      <c r="B35" s="1" t="s">
        <v>89</v>
      </c>
    </row>
    <row r="36" spans="2:2">
      <c r="B36" s="1" t="s">
        <v>90</v>
      </c>
    </row>
    <row r="37" spans="2:2">
      <c r="B37" s="1" t="s">
        <v>91</v>
      </c>
    </row>
    <row r="38" spans="2:2">
      <c r="B38" s="1" t="s">
        <v>92</v>
      </c>
    </row>
    <row r="39" spans="2:2">
      <c r="B39" s="1" t="s">
        <v>93</v>
      </c>
    </row>
    <row r="40" spans="2:2">
      <c r="B40" s="1" t="s">
        <v>94</v>
      </c>
    </row>
    <row r="41" spans="2:2">
      <c r="B41" s="1" t="s">
        <v>95</v>
      </c>
    </row>
    <row r="42" spans="2:2">
      <c r="B42" s="1" t="s">
        <v>96</v>
      </c>
    </row>
    <row r="43" spans="2:2">
      <c r="B43" s="1" t="s">
        <v>97</v>
      </c>
    </row>
    <row r="44" spans="2:2">
      <c r="B44" s="1" t="s">
        <v>98</v>
      </c>
    </row>
    <row r="45" spans="2:2">
      <c r="B45" s="1" t="s">
        <v>99</v>
      </c>
    </row>
    <row r="46" spans="2:2">
      <c r="B46" s="1" t="s">
        <v>100</v>
      </c>
    </row>
    <row r="47" spans="2:2">
      <c r="B47" s="1" t="s">
        <v>101</v>
      </c>
    </row>
    <row r="48" spans="2:2">
      <c r="B48" s="1" t="s">
        <v>102</v>
      </c>
    </row>
    <row r="49" spans="2:2">
      <c r="B49" s="1" t="s">
        <v>103</v>
      </c>
    </row>
    <row r="50" spans="2:2">
      <c r="B50" s="1" t="s">
        <v>104</v>
      </c>
    </row>
    <row r="51" spans="2:2">
      <c r="B51" s="1" t="s">
        <v>105</v>
      </c>
    </row>
    <row r="52" spans="2:2">
      <c r="B52" s="1" t="s">
        <v>106</v>
      </c>
    </row>
    <row r="53" spans="2:2">
      <c r="B53" s="1" t="s">
        <v>107</v>
      </c>
    </row>
    <row r="54" spans="2:2">
      <c r="B54" s="1" t="s">
        <v>108</v>
      </c>
    </row>
    <row r="55" spans="2:2">
      <c r="B55" s="1" t="s">
        <v>109</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sheetPr>
  <dimension ref="A1:E24"/>
  <sheetViews>
    <sheetView showGridLines="0" workbookViewId="0">
      <selection activeCell="E3" sqref="E3"/>
    </sheetView>
  </sheetViews>
  <sheetFormatPr defaultColWidth="14.85546875" defaultRowHeight="15"/>
  <cols>
    <col min="2" max="2" width="22.42578125" customWidth="1"/>
    <col min="3" max="3" width="40.5703125" customWidth="1"/>
    <col min="4" max="4" width="32.28515625" customWidth="1"/>
    <col min="5" max="5" width="26.7109375" customWidth="1"/>
  </cols>
  <sheetData>
    <row r="1" spans="1:5">
      <c r="A1" s="21" t="s">
        <v>426</v>
      </c>
      <c r="B1" s="22"/>
      <c r="C1" s="22"/>
      <c r="D1" s="22"/>
      <c r="E1" s="23"/>
    </row>
    <row r="2" spans="1:5">
      <c r="A2" s="25" t="s">
        <v>438</v>
      </c>
      <c r="B2" s="25" t="s">
        <v>439</v>
      </c>
      <c r="C2" s="27" t="s">
        <v>427</v>
      </c>
      <c r="D2" s="27" t="s">
        <v>428</v>
      </c>
      <c r="E2" s="27" t="s">
        <v>429</v>
      </c>
    </row>
    <row r="3" spans="1:5">
      <c r="A3" s="26">
        <v>5</v>
      </c>
      <c r="B3" s="26" t="s">
        <v>418</v>
      </c>
      <c r="C3" s="26" t="s">
        <v>230</v>
      </c>
      <c r="D3" s="26" t="s">
        <v>430</v>
      </c>
      <c r="E3" s="26" t="s">
        <v>419</v>
      </c>
    </row>
    <row r="4" spans="1:5">
      <c r="A4" s="26">
        <v>4</v>
      </c>
      <c r="B4" s="26" t="s">
        <v>419</v>
      </c>
      <c r="C4" s="26" t="s">
        <v>230</v>
      </c>
      <c r="D4" s="26" t="s">
        <v>0</v>
      </c>
      <c r="E4" s="26" t="s">
        <v>419</v>
      </c>
    </row>
    <row r="5" spans="1:5">
      <c r="A5" s="26">
        <v>3</v>
      </c>
      <c r="B5" s="26" t="s">
        <v>420</v>
      </c>
      <c r="C5" s="26" t="s">
        <v>436</v>
      </c>
      <c r="D5" s="26" t="s">
        <v>0</v>
      </c>
      <c r="E5" s="26" t="s">
        <v>420</v>
      </c>
    </row>
    <row r="6" spans="1:5">
      <c r="A6" s="26">
        <v>2</v>
      </c>
      <c r="B6" s="26" t="s">
        <v>421</v>
      </c>
      <c r="C6" s="26" t="s">
        <v>436</v>
      </c>
      <c r="D6" s="26" t="s">
        <v>0</v>
      </c>
      <c r="E6" s="26" t="s">
        <v>421</v>
      </c>
    </row>
    <row r="7" spans="1:5">
      <c r="A7" s="26">
        <v>1</v>
      </c>
      <c r="B7" s="26" t="s">
        <v>422</v>
      </c>
      <c r="C7" s="26" t="s">
        <v>431</v>
      </c>
      <c r="D7" s="26" t="s">
        <v>0</v>
      </c>
      <c r="E7" s="26" t="s">
        <v>432</v>
      </c>
    </row>
    <row r="9" spans="1:5">
      <c r="A9" s="21" t="s">
        <v>424</v>
      </c>
      <c r="B9" s="22"/>
      <c r="C9" s="22"/>
      <c r="D9" s="23"/>
      <c r="E9" s="24"/>
    </row>
    <row r="10" spans="1:5">
      <c r="A10" s="25" t="s">
        <v>438</v>
      </c>
      <c r="B10" s="25" t="s">
        <v>439</v>
      </c>
      <c r="C10" s="25" t="s">
        <v>416</v>
      </c>
      <c r="D10" s="25" t="s">
        <v>425</v>
      </c>
      <c r="E10" s="24"/>
    </row>
    <row r="11" spans="1:5">
      <c r="A11" s="26">
        <v>5</v>
      </c>
      <c r="B11" s="26" t="s">
        <v>418</v>
      </c>
      <c r="C11" s="26" t="s">
        <v>418</v>
      </c>
      <c r="D11" s="26" t="s">
        <v>419</v>
      </c>
      <c r="E11" s="24"/>
    </row>
    <row r="12" spans="1:5">
      <c r="A12" s="26">
        <v>4</v>
      </c>
      <c r="B12" s="26" t="s">
        <v>419</v>
      </c>
      <c r="C12" s="26" t="s">
        <v>419</v>
      </c>
      <c r="D12" s="26" t="s">
        <v>419</v>
      </c>
      <c r="E12" s="24"/>
    </row>
    <row r="13" spans="1:5">
      <c r="A13" s="26">
        <v>3</v>
      </c>
      <c r="B13" s="26" t="s">
        <v>420</v>
      </c>
      <c r="C13" s="26" t="s">
        <v>420</v>
      </c>
      <c r="D13" s="26" t="s">
        <v>420</v>
      </c>
      <c r="E13" s="24"/>
    </row>
    <row r="14" spans="1:5">
      <c r="A14" s="26">
        <v>2</v>
      </c>
      <c r="B14" s="26" t="s">
        <v>421</v>
      </c>
      <c r="C14" s="26" t="s">
        <v>421</v>
      </c>
      <c r="D14" s="26" t="s">
        <v>421</v>
      </c>
      <c r="E14" s="24"/>
    </row>
    <row r="15" spans="1:5">
      <c r="A15" s="26">
        <v>1</v>
      </c>
      <c r="B15" s="26" t="s">
        <v>422</v>
      </c>
      <c r="C15" s="26" t="s">
        <v>422</v>
      </c>
      <c r="D15" s="26" t="s">
        <v>421</v>
      </c>
      <c r="E15" s="24"/>
    </row>
    <row r="16" spans="1:5">
      <c r="A16" s="24"/>
      <c r="B16" s="24"/>
      <c r="C16" s="24"/>
      <c r="D16" s="24"/>
      <c r="E16" s="24"/>
    </row>
    <row r="17" spans="1:5">
      <c r="A17" s="21" t="s">
        <v>415</v>
      </c>
      <c r="B17" s="22"/>
      <c r="C17" s="22"/>
      <c r="D17" s="23"/>
      <c r="E17" s="24"/>
    </row>
    <row r="18" spans="1:5">
      <c r="A18" s="25" t="s">
        <v>438</v>
      </c>
      <c r="B18" s="25" t="s">
        <v>439</v>
      </c>
      <c r="C18" s="25" t="s">
        <v>416</v>
      </c>
      <c r="D18" s="25" t="s">
        <v>417</v>
      </c>
      <c r="E18" s="24"/>
    </row>
    <row r="19" spans="1:5">
      <c r="A19" s="26">
        <v>5</v>
      </c>
      <c r="B19" s="26" t="s">
        <v>418</v>
      </c>
      <c r="C19" s="26" t="s">
        <v>418</v>
      </c>
      <c r="D19" s="26" t="s">
        <v>419</v>
      </c>
      <c r="E19" s="24"/>
    </row>
    <row r="20" spans="1:5">
      <c r="A20" s="26">
        <v>4</v>
      </c>
      <c r="B20" s="26" t="s">
        <v>419</v>
      </c>
      <c r="C20" s="26" t="s">
        <v>419</v>
      </c>
      <c r="D20" s="26" t="s">
        <v>420</v>
      </c>
      <c r="E20" s="24"/>
    </row>
    <row r="21" spans="1:5">
      <c r="A21" s="26">
        <v>3</v>
      </c>
      <c r="B21" s="26" t="s">
        <v>420</v>
      </c>
      <c r="C21" s="26" t="s">
        <v>420</v>
      </c>
      <c r="D21" s="26" t="s">
        <v>421</v>
      </c>
      <c r="E21" s="24"/>
    </row>
    <row r="22" spans="1:5">
      <c r="A22" s="26">
        <v>2</v>
      </c>
      <c r="B22" s="26" t="s">
        <v>421</v>
      </c>
      <c r="C22" s="26" t="s">
        <v>421</v>
      </c>
      <c r="D22" s="26" t="s">
        <v>419</v>
      </c>
      <c r="E22" s="24"/>
    </row>
    <row r="23" spans="1:5">
      <c r="A23" s="26">
        <v>1</v>
      </c>
      <c r="B23" s="26" t="s">
        <v>422</v>
      </c>
      <c r="C23" s="26" t="s">
        <v>422</v>
      </c>
      <c r="D23" s="26" t="s">
        <v>423</v>
      </c>
      <c r="E23" s="24"/>
    </row>
    <row r="24" spans="1:5">
      <c r="A24" s="24"/>
      <c r="B24" s="24"/>
      <c r="C24" s="24"/>
      <c r="D24" s="24"/>
      <c r="E24" s="24"/>
    </row>
  </sheetData>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0" tint="-0.499984740745262"/>
    <pageSetUpPr fitToPage="1"/>
  </sheetPr>
  <dimension ref="A1:D6"/>
  <sheetViews>
    <sheetView showGridLines="0" workbookViewId="0">
      <selection activeCell="A2" sqref="A2:A6"/>
    </sheetView>
  </sheetViews>
  <sheetFormatPr defaultRowHeight="15"/>
  <cols>
    <col min="1" max="1" width="14" customWidth="1"/>
    <col min="2" max="2" width="25.140625" customWidth="1"/>
    <col min="3" max="3" width="55" customWidth="1"/>
    <col min="4" max="4" width="89.140625" customWidth="1"/>
  </cols>
  <sheetData>
    <row r="1" spans="1:4">
      <c r="A1" s="25" t="s">
        <v>438</v>
      </c>
      <c r="B1" s="25" t="s">
        <v>439</v>
      </c>
      <c r="C1" s="27" t="s">
        <v>441</v>
      </c>
      <c r="D1" s="27" t="s">
        <v>442</v>
      </c>
    </row>
    <row r="2" spans="1:4" s="6" customFormat="1">
      <c r="A2" s="28">
        <v>5</v>
      </c>
      <c r="B2" s="28" t="s">
        <v>418</v>
      </c>
      <c r="C2" s="29" t="s">
        <v>440</v>
      </c>
      <c r="D2" s="29" t="s">
        <v>447</v>
      </c>
    </row>
    <row r="3" spans="1:4" s="6" customFormat="1">
      <c r="A3" s="28">
        <v>4</v>
      </c>
      <c r="B3" s="28" t="s">
        <v>419</v>
      </c>
      <c r="C3" s="29" t="s">
        <v>443</v>
      </c>
      <c r="D3" s="29" t="s">
        <v>448</v>
      </c>
    </row>
    <row r="4" spans="1:4" s="6" customFormat="1">
      <c r="A4" s="28">
        <v>3</v>
      </c>
      <c r="B4" s="28" t="s">
        <v>420</v>
      </c>
      <c r="C4" s="29" t="s">
        <v>444</v>
      </c>
      <c r="D4" s="29" t="s">
        <v>449</v>
      </c>
    </row>
    <row r="5" spans="1:4" s="6" customFormat="1" ht="30">
      <c r="A5" s="28">
        <v>2</v>
      </c>
      <c r="B5" s="28" t="s">
        <v>421</v>
      </c>
      <c r="C5" s="29" t="s">
        <v>445</v>
      </c>
      <c r="D5" s="29" t="s">
        <v>450</v>
      </c>
    </row>
    <row r="6" spans="1:4" s="6" customFormat="1">
      <c r="A6" s="28">
        <v>1</v>
      </c>
      <c r="B6" s="28" t="s">
        <v>422</v>
      </c>
      <c r="C6" s="29" t="s">
        <v>446</v>
      </c>
      <c r="D6" s="29" t="s">
        <v>451</v>
      </c>
    </row>
  </sheetData>
  <pageMargins left="0.70866141732283472" right="0.70866141732283472" top="0.74803149606299213" bottom="0.74803149606299213" header="0.31496062992125984" footer="0.31496062992125984"/>
  <pageSetup paperSize="9" scale="71"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B1:I10"/>
  <sheetViews>
    <sheetView showGridLines="0" workbookViewId="0">
      <selection activeCell="K6" sqref="K6"/>
    </sheetView>
  </sheetViews>
  <sheetFormatPr defaultRowHeight="15"/>
  <cols>
    <col min="1" max="1" width="1" customWidth="1"/>
    <col min="2" max="2" width="3.5703125" bestFit="1" customWidth="1"/>
    <col min="3" max="3" width="14.5703125" customWidth="1"/>
    <col min="5" max="9" width="10.7109375" customWidth="1"/>
    <col min="10" max="10" width="3" customWidth="1"/>
  </cols>
  <sheetData>
    <row r="1" spans="2:9" ht="6.75" customHeight="1"/>
    <row r="2" spans="2:9" ht="19.149999999999999" customHeight="1">
      <c r="E2" s="144" t="s">
        <v>6</v>
      </c>
      <c r="F2" s="144"/>
      <c r="G2" s="144"/>
      <c r="H2" s="144"/>
      <c r="I2" s="144"/>
    </row>
    <row r="3" spans="2:9">
      <c r="D3" s="8"/>
      <c r="E3" s="65" t="s">
        <v>698</v>
      </c>
      <c r="F3" s="65" t="s">
        <v>421</v>
      </c>
      <c r="G3" s="65" t="s">
        <v>699</v>
      </c>
      <c r="H3" s="65" t="s">
        <v>419</v>
      </c>
      <c r="I3" s="65" t="s">
        <v>700</v>
      </c>
    </row>
    <row r="4" spans="2:9" ht="18.600000000000001" customHeight="1">
      <c r="D4" s="9"/>
      <c r="E4" s="11">
        <v>1</v>
      </c>
      <c r="F4" s="11">
        <v>2</v>
      </c>
      <c r="G4" s="11">
        <v>3</v>
      </c>
      <c r="H4" s="11">
        <v>4</v>
      </c>
      <c r="I4" s="11">
        <v>5</v>
      </c>
    </row>
    <row r="5" spans="2:9" ht="18.75" customHeight="1">
      <c r="B5" s="143" t="s">
        <v>113</v>
      </c>
      <c r="C5" s="64" t="s">
        <v>701</v>
      </c>
      <c r="D5" s="10">
        <v>5</v>
      </c>
      <c r="E5" s="66">
        <f>$D5*E$4</f>
        <v>5</v>
      </c>
      <c r="F5" s="66">
        <f>$D5*F$4</f>
        <v>10</v>
      </c>
      <c r="G5" s="66">
        <f t="shared" ref="G5:I9" si="0">$D5*G$4</f>
        <v>15</v>
      </c>
      <c r="H5" s="66">
        <f t="shared" si="0"/>
        <v>20</v>
      </c>
      <c r="I5" s="66">
        <f t="shared" si="0"/>
        <v>25</v>
      </c>
    </row>
    <row r="6" spans="2:9" ht="18.75" customHeight="1">
      <c r="B6" s="143"/>
      <c r="C6" s="64" t="s">
        <v>702</v>
      </c>
      <c r="D6" s="10">
        <v>4</v>
      </c>
      <c r="E6" s="66">
        <f t="shared" ref="E6:E9" si="1">$D6*$E$4</f>
        <v>4</v>
      </c>
      <c r="F6" s="66">
        <f t="shared" ref="F6:F9" si="2">$D6*F$4</f>
        <v>8</v>
      </c>
      <c r="G6" s="66">
        <f t="shared" si="0"/>
        <v>12</v>
      </c>
      <c r="H6" s="66">
        <f t="shared" si="0"/>
        <v>16</v>
      </c>
      <c r="I6" s="66">
        <f t="shared" si="0"/>
        <v>20</v>
      </c>
    </row>
    <row r="7" spans="2:9" ht="18.75" customHeight="1">
      <c r="B7" s="143"/>
      <c r="C7" s="64" t="s">
        <v>699</v>
      </c>
      <c r="D7" s="11">
        <v>3</v>
      </c>
      <c r="E7" s="66">
        <f t="shared" si="1"/>
        <v>3</v>
      </c>
      <c r="F7" s="66">
        <f t="shared" si="2"/>
        <v>6</v>
      </c>
      <c r="G7" s="66">
        <f t="shared" si="0"/>
        <v>9</v>
      </c>
      <c r="H7" s="66">
        <f t="shared" si="0"/>
        <v>12</v>
      </c>
      <c r="I7" s="66">
        <f t="shared" si="0"/>
        <v>15</v>
      </c>
    </row>
    <row r="8" spans="2:9" ht="18.75" customHeight="1">
      <c r="B8" s="143"/>
      <c r="C8" s="64" t="s">
        <v>421</v>
      </c>
      <c r="D8" s="11">
        <v>2</v>
      </c>
      <c r="E8" s="66">
        <f t="shared" si="1"/>
        <v>2</v>
      </c>
      <c r="F8" s="66">
        <f t="shared" si="2"/>
        <v>4</v>
      </c>
      <c r="G8" s="66">
        <f t="shared" si="0"/>
        <v>6</v>
      </c>
      <c r="H8" s="66">
        <f t="shared" si="0"/>
        <v>8</v>
      </c>
      <c r="I8" s="66">
        <f t="shared" si="0"/>
        <v>10</v>
      </c>
    </row>
    <row r="9" spans="2:9" ht="18.75" customHeight="1">
      <c r="B9" s="143"/>
      <c r="C9" s="64" t="s">
        <v>703</v>
      </c>
      <c r="D9" s="11">
        <v>1</v>
      </c>
      <c r="E9" s="66">
        <f t="shared" si="1"/>
        <v>1</v>
      </c>
      <c r="F9" s="66">
        <f t="shared" si="2"/>
        <v>2</v>
      </c>
      <c r="G9" s="66">
        <f t="shared" si="0"/>
        <v>3</v>
      </c>
      <c r="H9" s="66">
        <f t="shared" si="0"/>
        <v>4</v>
      </c>
      <c r="I9" s="66">
        <f t="shared" si="0"/>
        <v>5</v>
      </c>
    </row>
    <row r="10" spans="2:9" ht="7.5" customHeight="1"/>
  </sheetData>
  <mergeCells count="2">
    <mergeCell ref="B5:B9"/>
    <mergeCell ref="E2:I2"/>
  </mergeCells>
  <conditionalFormatting sqref="E5:I9">
    <cfRule type="cellIs" dxfId="2" priority="1" operator="greaterThanOrEqual">
      <formula>15</formula>
    </cfRule>
    <cfRule type="cellIs" dxfId="1" priority="2" operator="between">
      <formula>5</formula>
      <formula>14</formula>
    </cfRule>
    <cfRule type="cellIs" dxfId="0" priority="3" operator="lessThanOrEqual">
      <formula>4</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E183"/>
  <sheetViews>
    <sheetView showGridLines="0" zoomScaleNormal="100" workbookViewId="0">
      <selection activeCell="B26" sqref="B26"/>
    </sheetView>
  </sheetViews>
  <sheetFormatPr defaultRowHeight="15"/>
  <cols>
    <col min="1" max="1" width="77.85546875" customWidth="1"/>
    <col min="2" max="2" width="92.5703125" customWidth="1"/>
  </cols>
  <sheetData>
    <row r="1" spans="1:2" ht="15.75">
      <c r="A1" s="13" t="s">
        <v>231</v>
      </c>
      <c r="B1" s="13" t="s">
        <v>232</v>
      </c>
    </row>
    <row r="2" spans="1:2">
      <c r="B2" s="16" t="s">
        <v>233</v>
      </c>
    </row>
    <row r="3" spans="1:2">
      <c r="A3" s="14" t="s">
        <v>114</v>
      </c>
      <c r="B3" s="17" t="s">
        <v>234</v>
      </c>
    </row>
    <row r="4" spans="1:2">
      <c r="A4" s="14" t="s">
        <v>115</v>
      </c>
      <c r="B4" s="17" t="s">
        <v>235</v>
      </c>
    </row>
    <row r="5" spans="1:2">
      <c r="A5" s="14" t="s">
        <v>116</v>
      </c>
      <c r="B5" s="16" t="s">
        <v>250</v>
      </c>
    </row>
    <row r="6" spans="1:2">
      <c r="A6" s="14" t="s">
        <v>117</v>
      </c>
      <c r="B6" s="18" t="s">
        <v>245</v>
      </c>
    </row>
    <row r="7" spans="1:2">
      <c r="A7" s="14" t="s">
        <v>118</v>
      </c>
      <c r="B7" s="17" t="s">
        <v>236</v>
      </c>
    </row>
    <row r="8" spans="1:2">
      <c r="A8" s="14" t="s">
        <v>119</v>
      </c>
      <c r="B8" s="19" t="s">
        <v>238</v>
      </c>
    </row>
    <row r="9" spans="1:2">
      <c r="A9" s="14" t="s">
        <v>120</v>
      </c>
      <c r="B9" s="17" t="s">
        <v>237</v>
      </c>
    </row>
    <row r="10" spans="1:2">
      <c r="A10" s="14" t="s">
        <v>121</v>
      </c>
      <c r="B10" s="17" t="s">
        <v>239</v>
      </c>
    </row>
    <row r="11" spans="1:2">
      <c r="A11" s="14" t="s">
        <v>122</v>
      </c>
      <c r="B11" s="15" t="s">
        <v>240</v>
      </c>
    </row>
    <row r="12" spans="1:2">
      <c r="A12" s="14" t="s">
        <v>123</v>
      </c>
      <c r="B12" s="15" t="s">
        <v>241</v>
      </c>
    </row>
    <row r="13" spans="1:2">
      <c r="A13" s="14" t="s">
        <v>124</v>
      </c>
      <c r="B13" s="15" t="s">
        <v>242</v>
      </c>
    </row>
    <row r="14" spans="1:2">
      <c r="A14" s="14" t="s">
        <v>125</v>
      </c>
      <c r="B14" s="17" t="s">
        <v>243</v>
      </c>
    </row>
    <row r="15" spans="1:2">
      <c r="A15" s="14" t="s">
        <v>126</v>
      </c>
      <c r="B15" s="18" t="s">
        <v>244</v>
      </c>
    </row>
    <row r="16" spans="1:2">
      <c r="A16" s="14" t="s">
        <v>127</v>
      </c>
      <c r="B16" s="17" t="s">
        <v>246</v>
      </c>
    </row>
    <row r="17" spans="1:5">
      <c r="A17" s="14" t="s">
        <v>128</v>
      </c>
      <c r="B17" s="17" t="s">
        <v>247</v>
      </c>
    </row>
    <row r="18" spans="1:5">
      <c r="A18" s="14" t="s">
        <v>129</v>
      </c>
      <c r="B18" s="17" t="s">
        <v>248</v>
      </c>
    </row>
    <row r="19" spans="1:5">
      <c r="A19" s="14" t="s">
        <v>130</v>
      </c>
      <c r="B19" s="16" t="s">
        <v>251</v>
      </c>
    </row>
    <row r="20" spans="1:5">
      <c r="A20" s="14" t="s">
        <v>131</v>
      </c>
      <c r="B20" s="18" t="s">
        <v>249</v>
      </c>
    </row>
    <row r="21" spans="1:5">
      <c r="A21" s="14" t="s">
        <v>132</v>
      </c>
      <c r="B21" s="17" t="s">
        <v>252</v>
      </c>
    </row>
    <row r="22" spans="1:5">
      <c r="A22" s="14" t="s">
        <v>133</v>
      </c>
      <c r="B22" s="15" t="s">
        <v>253</v>
      </c>
    </row>
    <row r="23" spans="1:5">
      <c r="A23" s="14" t="s">
        <v>134</v>
      </c>
      <c r="B23" s="15" t="s">
        <v>254</v>
      </c>
      <c r="E23" s="3"/>
    </row>
    <row r="24" spans="1:5">
      <c r="A24" s="14" t="s">
        <v>135</v>
      </c>
      <c r="B24" s="18" t="s">
        <v>255</v>
      </c>
    </row>
    <row r="25" spans="1:5">
      <c r="A25" s="14" t="s">
        <v>136</v>
      </c>
      <c r="B25" s="17" t="s">
        <v>256</v>
      </c>
    </row>
    <row r="26" spans="1:5">
      <c r="A26" s="14" t="s">
        <v>137</v>
      </c>
      <c r="B26" s="17" t="s">
        <v>257</v>
      </c>
    </row>
    <row r="27" spans="1:5">
      <c r="A27" s="14" t="s">
        <v>138</v>
      </c>
      <c r="B27" s="16" t="s">
        <v>258</v>
      </c>
    </row>
    <row r="28" spans="1:5">
      <c r="A28" s="14" t="s">
        <v>139</v>
      </c>
      <c r="B28" s="18" t="s">
        <v>259</v>
      </c>
    </row>
    <row r="29" spans="1:5">
      <c r="A29" s="14" t="s">
        <v>140</v>
      </c>
      <c r="B29" s="17" t="s">
        <v>260</v>
      </c>
    </row>
    <row r="30" spans="1:5">
      <c r="A30" s="14" t="s">
        <v>141</v>
      </c>
      <c r="B30" s="17" t="s">
        <v>261</v>
      </c>
    </row>
    <row r="31" spans="1:5">
      <c r="A31" s="14" t="s">
        <v>142</v>
      </c>
      <c r="B31" s="17" t="s">
        <v>262</v>
      </c>
    </row>
    <row r="32" spans="1:5">
      <c r="A32" s="14" t="s">
        <v>143</v>
      </c>
      <c r="B32" s="18" t="s">
        <v>263</v>
      </c>
    </row>
    <row r="33" spans="1:2">
      <c r="A33" s="14" t="s">
        <v>144</v>
      </c>
      <c r="B33" s="17" t="s">
        <v>264</v>
      </c>
    </row>
    <row r="34" spans="1:2">
      <c r="A34" s="14" t="s">
        <v>145</v>
      </c>
      <c r="B34" s="17" t="s">
        <v>265</v>
      </c>
    </row>
    <row r="35" spans="1:2">
      <c r="A35" s="14" t="s">
        <v>146</v>
      </c>
      <c r="B35" s="17" t="s">
        <v>266</v>
      </c>
    </row>
    <row r="36" spans="1:2">
      <c r="A36" s="14" t="s">
        <v>147</v>
      </c>
      <c r="B36" s="18" t="s">
        <v>267</v>
      </c>
    </row>
    <row r="37" spans="1:2">
      <c r="A37" s="14" t="s">
        <v>148</v>
      </c>
      <c r="B37" s="17" t="s">
        <v>268</v>
      </c>
    </row>
    <row r="38" spans="1:2">
      <c r="A38" s="14" t="s">
        <v>149</v>
      </c>
      <c r="B38" s="17" t="s">
        <v>269</v>
      </c>
    </row>
    <row r="39" spans="1:2">
      <c r="A39" s="14" t="s">
        <v>150</v>
      </c>
      <c r="B39" s="17" t="s">
        <v>270</v>
      </c>
    </row>
    <row r="40" spans="1:2">
      <c r="A40" s="14" t="s">
        <v>151</v>
      </c>
      <c r="B40" s="16" t="s">
        <v>271</v>
      </c>
    </row>
    <row r="41" spans="1:2">
      <c r="A41" s="14" t="s">
        <v>152</v>
      </c>
      <c r="B41" s="18" t="s">
        <v>272</v>
      </c>
    </row>
    <row r="42" spans="1:2">
      <c r="A42" s="14" t="s">
        <v>153</v>
      </c>
      <c r="B42" s="17" t="s">
        <v>273</v>
      </c>
    </row>
    <row r="43" spans="1:2">
      <c r="A43" s="14" t="s">
        <v>154</v>
      </c>
      <c r="B43" s="17" t="s">
        <v>274</v>
      </c>
    </row>
    <row r="44" spans="1:2">
      <c r="A44" s="14" t="s">
        <v>155</v>
      </c>
      <c r="B44" s="17" t="s">
        <v>275</v>
      </c>
    </row>
    <row r="45" spans="1:2">
      <c r="A45" s="14" t="s">
        <v>156</v>
      </c>
      <c r="B45" s="17" t="s">
        <v>276</v>
      </c>
    </row>
    <row r="46" spans="1:2">
      <c r="A46" s="14" t="s">
        <v>157</v>
      </c>
      <c r="B46" s="17" t="s">
        <v>277</v>
      </c>
    </row>
    <row r="47" spans="1:2">
      <c r="A47" s="14" t="s">
        <v>158</v>
      </c>
      <c r="B47" s="17" t="s">
        <v>278</v>
      </c>
    </row>
    <row r="48" spans="1:2">
      <c r="A48" s="14" t="s">
        <v>159</v>
      </c>
      <c r="B48" s="18" t="s">
        <v>279</v>
      </c>
    </row>
    <row r="49" spans="1:2">
      <c r="A49" s="14" t="s">
        <v>160</v>
      </c>
      <c r="B49" s="17" t="s">
        <v>280</v>
      </c>
    </row>
    <row r="50" spans="1:2">
      <c r="A50" s="14" t="s">
        <v>161</v>
      </c>
      <c r="B50" s="17" t="s">
        <v>281</v>
      </c>
    </row>
    <row r="51" spans="1:2">
      <c r="A51" s="14" t="s">
        <v>162</v>
      </c>
      <c r="B51" s="17" t="s">
        <v>282</v>
      </c>
    </row>
    <row r="52" spans="1:2">
      <c r="A52" s="14" t="s">
        <v>163</v>
      </c>
      <c r="B52" s="17" t="s">
        <v>283</v>
      </c>
    </row>
    <row r="53" spans="1:2">
      <c r="A53" s="14" t="s">
        <v>164</v>
      </c>
      <c r="B53" s="17" t="s">
        <v>284</v>
      </c>
    </row>
    <row r="54" spans="1:2">
      <c r="A54" s="14" t="s">
        <v>165</v>
      </c>
      <c r="B54" s="17" t="s">
        <v>285</v>
      </c>
    </row>
    <row r="55" spans="1:2">
      <c r="A55" s="14" t="s">
        <v>166</v>
      </c>
      <c r="B55" s="17" t="s">
        <v>286</v>
      </c>
    </row>
    <row r="56" spans="1:2">
      <c r="A56" s="14" t="s">
        <v>167</v>
      </c>
      <c r="B56" s="16" t="s">
        <v>288</v>
      </c>
    </row>
    <row r="57" spans="1:2">
      <c r="A57" s="14" t="s">
        <v>168</v>
      </c>
      <c r="B57" s="18" t="s">
        <v>287</v>
      </c>
    </row>
    <row r="58" spans="1:2">
      <c r="A58" s="14" t="s">
        <v>169</v>
      </c>
      <c r="B58" s="17" t="s">
        <v>289</v>
      </c>
    </row>
    <row r="59" spans="1:2">
      <c r="A59" s="14" t="s">
        <v>170</v>
      </c>
      <c r="B59" s="17" t="s">
        <v>290</v>
      </c>
    </row>
    <row r="60" spans="1:2">
      <c r="A60" s="14" t="s">
        <v>171</v>
      </c>
      <c r="B60" s="17" t="s">
        <v>291</v>
      </c>
    </row>
    <row r="61" spans="1:2">
      <c r="A61" s="14" t="s">
        <v>172</v>
      </c>
      <c r="B61" s="17" t="s">
        <v>292</v>
      </c>
    </row>
    <row r="62" spans="1:2">
      <c r="A62" s="14" t="s">
        <v>173</v>
      </c>
      <c r="B62" s="18" t="s">
        <v>293</v>
      </c>
    </row>
    <row r="63" spans="1:2">
      <c r="A63" s="14" t="s">
        <v>174</v>
      </c>
      <c r="B63" s="15" t="s">
        <v>294</v>
      </c>
    </row>
    <row r="64" spans="1:2">
      <c r="A64" s="14" t="s">
        <v>175</v>
      </c>
      <c r="B64" s="15" t="s">
        <v>295</v>
      </c>
    </row>
    <row r="65" spans="1:4">
      <c r="A65" s="14" t="s">
        <v>176</v>
      </c>
      <c r="B65" s="15" t="s">
        <v>296</v>
      </c>
    </row>
    <row r="66" spans="1:4">
      <c r="A66" s="14" t="s">
        <v>177</v>
      </c>
      <c r="B66" s="18" t="s">
        <v>297</v>
      </c>
    </row>
    <row r="67" spans="1:4">
      <c r="A67" s="14" t="s">
        <v>178</v>
      </c>
      <c r="B67" s="17" t="s">
        <v>298</v>
      </c>
    </row>
    <row r="68" spans="1:4">
      <c r="A68" s="14" t="s">
        <v>179</v>
      </c>
      <c r="B68" s="17" t="s">
        <v>299</v>
      </c>
      <c r="D68" s="3"/>
    </row>
    <row r="69" spans="1:4">
      <c r="A69" s="14" t="s">
        <v>180</v>
      </c>
      <c r="B69" s="18" t="s">
        <v>300</v>
      </c>
    </row>
    <row r="70" spans="1:4">
      <c r="A70" s="14" t="s">
        <v>181</v>
      </c>
      <c r="B70" s="17" t="s">
        <v>302</v>
      </c>
    </row>
    <row r="71" spans="1:4">
      <c r="A71" s="14" t="s">
        <v>182</v>
      </c>
      <c r="B71" s="15" t="s">
        <v>301</v>
      </c>
    </row>
    <row r="72" spans="1:4">
      <c r="A72" s="14" t="s">
        <v>183</v>
      </c>
      <c r="B72" s="18" t="s">
        <v>303</v>
      </c>
    </row>
    <row r="73" spans="1:4">
      <c r="A73" s="14" t="s">
        <v>184</v>
      </c>
      <c r="B73" s="17" t="s">
        <v>304</v>
      </c>
    </row>
    <row r="74" spans="1:4">
      <c r="A74" s="14" t="s">
        <v>185</v>
      </c>
      <c r="B74" s="18" t="s">
        <v>305</v>
      </c>
    </row>
    <row r="75" spans="1:4">
      <c r="A75" s="14" t="s">
        <v>186</v>
      </c>
      <c r="B75" s="17" t="s">
        <v>306</v>
      </c>
    </row>
    <row r="76" spans="1:4">
      <c r="A76" s="14" t="s">
        <v>187</v>
      </c>
      <c r="B76" s="15" t="s">
        <v>307</v>
      </c>
    </row>
    <row r="77" spans="1:4">
      <c r="A77" s="14" t="s">
        <v>188</v>
      </c>
      <c r="B77" s="18" t="s">
        <v>308</v>
      </c>
    </row>
    <row r="78" spans="1:4">
      <c r="A78" s="14" t="s">
        <v>189</v>
      </c>
      <c r="B78" s="17" t="s">
        <v>309</v>
      </c>
    </row>
    <row r="79" spans="1:4">
      <c r="A79" s="14" t="s">
        <v>190</v>
      </c>
      <c r="B79" s="17" t="s">
        <v>310</v>
      </c>
    </row>
    <row r="80" spans="1:4">
      <c r="A80" s="14" t="s">
        <v>191</v>
      </c>
      <c r="B80" s="17" t="s">
        <v>311</v>
      </c>
    </row>
    <row r="81" spans="1:2">
      <c r="A81" s="14" t="s">
        <v>192</v>
      </c>
      <c r="B81" s="17" t="s">
        <v>312</v>
      </c>
    </row>
    <row r="82" spans="1:2">
      <c r="A82" s="14" t="s">
        <v>193</v>
      </c>
      <c r="B82" s="18" t="s">
        <v>313</v>
      </c>
    </row>
    <row r="83" spans="1:2">
      <c r="A83" s="14" t="s">
        <v>194</v>
      </c>
      <c r="B83" s="17" t="s">
        <v>314</v>
      </c>
    </row>
    <row r="84" spans="1:2">
      <c r="A84" s="14" t="s">
        <v>195</v>
      </c>
      <c r="B84" s="17" t="s">
        <v>315</v>
      </c>
    </row>
    <row r="85" spans="1:2">
      <c r="A85" s="14" t="s">
        <v>196</v>
      </c>
      <c r="B85" s="17" t="s">
        <v>316</v>
      </c>
    </row>
    <row r="86" spans="1:2">
      <c r="A86" s="14" t="s">
        <v>197</v>
      </c>
      <c r="B86" s="17" t="s">
        <v>317</v>
      </c>
    </row>
    <row r="87" spans="1:2">
      <c r="A87" s="14" t="s">
        <v>198</v>
      </c>
      <c r="B87" s="17" t="s">
        <v>318</v>
      </c>
    </row>
    <row r="88" spans="1:2">
      <c r="A88" s="14" t="s">
        <v>199</v>
      </c>
      <c r="B88" s="18" t="s">
        <v>319</v>
      </c>
    </row>
    <row r="89" spans="1:2">
      <c r="A89" s="14" t="s">
        <v>200</v>
      </c>
      <c r="B89" s="15" t="s">
        <v>320</v>
      </c>
    </row>
    <row r="90" spans="1:2">
      <c r="A90" s="14" t="s">
        <v>201</v>
      </c>
      <c r="B90" s="15" t="s">
        <v>321</v>
      </c>
    </row>
    <row r="91" spans="1:2">
      <c r="A91" s="14" t="s">
        <v>202</v>
      </c>
      <c r="B91" s="15" t="s">
        <v>322</v>
      </c>
    </row>
    <row r="92" spans="1:2">
      <c r="A92" s="14" t="s">
        <v>203</v>
      </c>
      <c r="B92" s="18" t="s">
        <v>323</v>
      </c>
    </row>
    <row r="93" spans="1:2">
      <c r="A93" s="14" t="s">
        <v>204</v>
      </c>
      <c r="B93" s="15" t="s">
        <v>324</v>
      </c>
    </row>
    <row r="94" spans="1:2">
      <c r="A94" s="14" t="s">
        <v>205</v>
      </c>
      <c r="B94" s="15" t="s">
        <v>325</v>
      </c>
    </row>
    <row r="95" spans="1:2">
      <c r="A95" s="14" t="s">
        <v>206</v>
      </c>
      <c r="B95" s="15" t="s">
        <v>326</v>
      </c>
    </row>
    <row r="96" spans="1:2">
      <c r="A96" s="14" t="s">
        <v>207</v>
      </c>
      <c r="B96" s="15" t="s">
        <v>327</v>
      </c>
    </row>
    <row r="97" spans="1:2">
      <c r="A97" s="14" t="s">
        <v>208</v>
      </c>
      <c r="B97" s="15" t="s">
        <v>328</v>
      </c>
    </row>
    <row r="98" spans="1:2">
      <c r="A98" s="14" t="s">
        <v>209</v>
      </c>
      <c r="B98" s="15" t="s">
        <v>329</v>
      </c>
    </row>
    <row r="99" spans="1:2">
      <c r="A99" s="14" t="s">
        <v>210</v>
      </c>
      <c r="B99" s="16" t="s">
        <v>330</v>
      </c>
    </row>
    <row r="100" spans="1:2">
      <c r="A100" s="14" t="s">
        <v>211</v>
      </c>
      <c r="B100" s="18" t="s">
        <v>331</v>
      </c>
    </row>
    <row r="101" spans="1:2">
      <c r="A101" s="14" t="s">
        <v>212</v>
      </c>
      <c r="B101" s="17" t="s">
        <v>332</v>
      </c>
    </row>
    <row r="102" spans="1:2">
      <c r="A102" s="14" t="s">
        <v>213</v>
      </c>
      <c r="B102" s="18" t="s">
        <v>333</v>
      </c>
    </row>
    <row r="103" spans="1:2">
      <c r="A103" s="14" t="s">
        <v>214</v>
      </c>
      <c r="B103" s="17" t="s">
        <v>334</v>
      </c>
    </row>
    <row r="104" spans="1:2">
      <c r="A104" s="14" t="s">
        <v>215</v>
      </c>
      <c r="B104" s="17" t="s">
        <v>335</v>
      </c>
    </row>
    <row r="105" spans="1:2">
      <c r="A105" s="14" t="s">
        <v>216</v>
      </c>
      <c r="B105" s="17" t="s">
        <v>336</v>
      </c>
    </row>
    <row r="106" spans="1:2">
      <c r="A106" s="14" t="s">
        <v>217</v>
      </c>
      <c r="B106" s="17" t="s">
        <v>337</v>
      </c>
    </row>
    <row r="107" spans="1:2">
      <c r="A107" s="14" t="s">
        <v>218</v>
      </c>
      <c r="B107" s="18" t="s">
        <v>338</v>
      </c>
    </row>
    <row r="108" spans="1:2">
      <c r="A108" s="14" t="s">
        <v>219</v>
      </c>
      <c r="B108" s="17" t="s">
        <v>339</v>
      </c>
    </row>
    <row r="109" spans="1:2">
      <c r="A109" s="14" t="s">
        <v>220</v>
      </c>
      <c r="B109" s="17" t="s">
        <v>340</v>
      </c>
    </row>
    <row r="110" spans="1:2">
      <c r="A110" s="14" t="s">
        <v>221</v>
      </c>
      <c r="B110" s="17" t="s">
        <v>341</v>
      </c>
    </row>
    <row r="111" spans="1:2">
      <c r="A111" s="14" t="s">
        <v>222</v>
      </c>
      <c r="B111" s="18" t="s">
        <v>342</v>
      </c>
    </row>
    <row r="112" spans="1:2">
      <c r="A112" s="14" t="s">
        <v>223</v>
      </c>
      <c r="B112" s="17" t="s">
        <v>343</v>
      </c>
    </row>
    <row r="113" spans="1:2">
      <c r="A113" s="14" t="s">
        <v>224</v>
      </c>
      <c r="B113" s="17" t="s">
        <v>344</v>
      </c>
    </row>
    <row r="114" spans="1:2">
      <c r="A114" s="14" t="s">
        <v>225</v>
      </c>
      <c r="B114" s="17" t="s">
        <v>345</v>
      </c>
    </row>
    <row r="115" spans="1:2">
      <c r="A115" s="14" t="s">
        <v>226</v>
      </c>
      <c r="B115" s="17" t="s">
        <v>346</v>
      </c>
    </row>
    <row r="116" spans="1:2">
      <c r="A116" s="14" t="s">
        <v>227</v>
      </c>
      <c r="B116" s="17" t="s">
        <v>347</v>
      </c>
    </row>
    <row r="117" spans="1:2">
      <c r="A117" s="14"/>
      <c r="B117" s="17" t="s">
        <v>348</v>
      </c>
    </row>
    <row r="118" spans="1:2">
      <c r="A118" s="14"/>
      <c r="B118" s="17" t="s">
        <v>349</v>
      </c>
    </row>
    <row r="119" spans="1:2">
      <c r="A119" s="14"/>
      <c r="B119" s="18" t="s">
        <v>350</v>
      </c>
    </row>
    <row r="120" spans="1:2">
      <c r="A120" s="14"/>
      <c r="B120" s="17" t="s">
        <v>351</v>
      </c>
    </row>
    <row r="121" spans="1:2">
      <c r="A121" s="14"/>
      <c r="B121" s="17" t="s">
        <v>352</v>
      </c>
    </row>
    <row r="122" spans="1:2">
      <c r="A122" s="14"/>
      <c r="B122" s="17" t="s">
        <v>353</v>
      </c>
    </row>
    <row r="123" spans="1:2">
      <c r="A123" s="14"/>
      <c r="B123" s="17" t="s">
        <v>354</v>
      </c>
    </row>
    <row r="124" spans="1:2">
      <c r="A124" s="14"/>
      <c r="B124" s="17" t="s">
        <v>355</v>
      </c>
    </row>
    <row r="125" spans="1:2">
      <c r="A125" s="14"/>
      <c r="B125" s="17" t="s">
        <v>356</v>
      </c>
    </row>
    <row r="126" spans="1:2">
      <c r="A126" s="14"/>
      <c r="B126" s="18" t="s">
        <v>357</v>
      </c>
    </row>
    <row r="127" spans="1:2">
      <c r="A127" s="14"/>
      <c r="B127" s="17" t="s">
        <v>358</v>
      </c>
    </row>
    <row r="128" spans="1:2">
      <c r="A128" s="14"/>
      <c r="B128" s="17" t="s">
        <v>359</v>
      </c>
    </row>
    <row r="129" spans="1:2">
      <c r="A129" s="14"/>
      <c r="B129" s="18" t="s">
        <v>360</v>
      </c>
    </row>
    <row r="130" spans="1:2">
      <c r="A130" s="14"/>
      <c r="B130" s="17" t="s">
        <v>361</v>
      </c>
    </row>
    <row r="131" spans="1:2">
      <c r="A131" s="14"/>
      <c r="B131" s="17" t="s">
        <v>362</v>
      </c>
    </row>
    <row r="132" spans="1:2">
      <c r="A132" s="14"/>
      <c r="B132" s="16" t="s">
        <v>363</v>
      </c>
    </row>
    <row r="133" spans="1:2">
      <c r="A133" s="14"/>
      <c r="B133" s="18" t="s">
        <v>364</v>
      </c>
    </row>
    <row r="134" spans="1:2">
      <c r="A134" s="14"/>
      <c r="B134" s="17" t="s">
        <v>365</v>
      </c>
    </row>
    <row r="135" spans="1:2">
      <c r="A135" s="14"/>
      <c r="B135" s="18" t="s">
        <v>366</v>
      </c>
    </row>
    <row r="136" spans="1:2">
      <c r="A136" s="14"/>
      <c r="B136" s="17" t="s">
        <v>367</v>
      </c>
    </row>
    <row r="137" spans="1:2">
      <c r="A137" s="14"/>
      <c r="B137" s="17" t="s">
        <v>368</v>
      </c>
    </row>
    <row r="138" spans="1:2">
      <c r="A138" s="14"/>
      <c r="B138" s="17" t="s">
        <v>369</v>
      </c>
    </row>
    <row r="139" spans="1:2">
      <c r="A139" s="14"/>
      <c r="B139" s="17" t="s">
        <v>370</v>
      </c>
    </row>
    <row r="140" spans="1:2">
      <c r="A140" s="14"/>
      <c r="B140" s="18" t="s">
        <v>371</v>
      </c>
    </row>
    <row r="141" spans="1:2">
      <c r="A141" s="14"/>
      <c r="B141" s="17" t="s">
        <v>372</v>
      </c>
    </row>
    <row r="142" spans="1:2">
      <c r="A142" s="14"/>
      <c r="B142" s="17" t="s">
        <v>373</v>
      </c>
    </row>
    <row r="143" spans="1:2">
      <c r="A143" s="14"/>
      <c r="B143" s="18" t="s">
        <v>374</v>
      </c>
    </row>
    <row r="144" spans="1:2">
      <c r="A144" s="14"/>
      <c r="B144" s="17" t="s">
        <v>375</v>
      </c>
    </row>
    <row r="145" spans="1:2">
      <c r="A145" s="14"/>
      <c r="B145" s="17" t="s">
        <v>376</v>
      </c>
    </row>
    <row r="146" spans="1:2">
      <c r="A146" s="14"/>
      <c r="B146" s="17" t="s">
        <v>377</v>
      </c>
    </row>
    <row r="147" spans="1:2">
      <c r="A147" s="14"/>
      <c r="B147" s="20" t="s">
        <v>378</v>
      </c>
    </row>
    <row r="148" spans="1:2">
      <c r="A148" s="14"/>
      <c r="B148" s="17" t="s">
        <v>379</v>
      </c>
    </row>
    <row r="149" spans="1:2">
      <c r="A149" s="14"/>
      <c r="B149" s="17" t="s">
        <v>380</v>
      </c>
    </row>
    <row r="150" spans="1:2">
      <c r="A150" s="14"/>
      <c r="B150" s="17" t="s">
        <v>381</v>
      </c>
    </row>
    <row r="151" spans="1:2">
      <c r="A151" s="14"/>
      <c r="B151" s="17" t="s">
        <v>382</v>
      </c>
    </row>
    <row r="152" spans="1:2">
      <c r="A152" s="14"/>
      <c r="B152" s="17" t="s">
        <v>383</v>
      </c>
    </row>
    <row r="153" spans="1:2">
      <c r="B153" s="18" t="s">
        <v>384</v>
      </c>
    </row>
    <row r="154" spans="1:2">
      <c r="B154" s="15" t="s">
        <v>385</v>
      </c>
    </row>
    <row r="155" spans="1:2">
      <c r="B155" s="16" t="s">
        <v>386</v>
      </c>
    </row>
    <row r="156" spans="1:2">
      <c r="B156" s="18" t="s">
        <v>387</v>
      </c>
    </row>
    <row r="157" spans="1:2">
      <c r="B157" s="17" t="s">
        <v>388</v>
      </c>
    </row>
    <row r="158" spans="1:2">
      <c r="B158" s="17" t="s">
        <v>389</v>
      </c>
    </row>
    <row r="159" spans="1:2">
      <c r="B159" s="18" t="s">
        <v>390</v>
      </c>
    </row>
    <row r="160" spans="1:2">
      <c r="B160" s="17" t="s">
        <v>391</v>
      </c>
    </row>
    <row r="161" spans="2:2">
      <c r="B161" s="17" t="s">
        <v>392</v>
      </c>
    </row>
    <row r="162" spans="2:2">
      <c r="B162" s="17" t="s">
        <v>393</v>
      </c>
    </row>
    <row r="163" spans="2:2">
      <c r="B163" s="16" t="s">
        <v>394</v>
      </c>
    </row>
    <row r="164" spans="2:2">
      <c r="B164" s="18" t="s">
        <v>395</v>
      </c>
    </row>
    <row r="165" spans="2:2">
      <c r="B165" s="17" t="s">
        <v>396</v>
      </c>
    </row>
    <row r="166" spans="2:2">
      <c r="B166" s="15" t="s">
        <v>397</v>
      </c>
    </row>
    <row r="167" spans="2:2">
      <c r="B167" s="17" t="s">
        <v>398</v>
      </c>
    </row>
    <row r="168" spans="2:2">
      <c r="B168" s="17" t="s">
        <v>399</v>
      </c>
    </row>
    <row r="169" spans="2:2">
      <c r="B169" s="17" t="s">
        <v>400</v>
      </c>
    </row>
    <row r="170" spans="2:2">
      <c r="B170" s="16" t="s">
        <v>401</v>
      </c>
    </row>
    <row r="171" spans="2:2">
      <c r="B171" s="18" t="s">
        <v>402</v>
      </c>
    </row>
    <row r="172" spans="2:2">
      <c r="B172" s="17" t="s">
        <v>403</v>
      </c>
    </row>
    <row r="173" spans="2:2">
      <c r="B173" s="17" t="s">
        <v>404</v>
      </c>
    </row>
    <row r="174" spans="2:2">
      <c r="B174" s="17" t="s">
        <v>405</v>
      </c>
    </row>
    <row r="175" spans="2:2">
      <c r="B175" s="17" t="s">
        <v>406</v>
      </c>
    </row>
    <row r="176" spans="2:2">
      <c r="B176" s="17" t="s">
        <v>407</v>
      </c>
    </row>
    <row r="177" spans="2:2">
      <c r="B177" s="17" t="s">
        <v>408</v>
      </c>
    </row>
    <row r="178" spans="2:2">
      <c r="B178" s="18" t="s">
        <v>409</v>
      </c>
    </row>
    <row r="179" spans="2:2">
      <c r="B179" s="17" t="s">
        <v>410</v>
      </c>
    </row>
    <row r="180" spans="2:2">
      <c r="B180" s="17" t="s">
        <v>411</v>
      </c>
    </row>
    <row r="181" spans="2:2">
      <c r="B181" s="18" t="s">
        <v>412</v>
      </c>
    </row>
    <row r="182" spans="2:2">
      <c r="B182" s="17" t="s">
        <v>413</v>
      </c>
    </row>
    <row r="183" spans="2:2">
      <c r="B183" s="17" t="s">
        <v>414</v>
      </c>
    </row>
  </sheetData>
  <dataConsolidate/>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10"/>
  <sheetViews>
    <sheetView showGridLines="0" zoomScaleNormal="100" workbookViewId="0">
      <selection activeCell="C16" sqref="C16"/>
    </sheetView>
  </sheetViews>
  <sheetFormatPr defaultRowHeight="15"/>
  <cols>
    <col min="1" max="1" width="45" customWidth="1"/>
  </cols>
  <sheetData>
    <row r="1" spans="1:1" ht="15.75">
      <c r="A1" s="2" t="s">
        <v>659</v>
      </c>
    </row>
    <row r="2" spans="1:1">
      <c r="A2" s="58" t="s">
        <v>673</v>
      </c>
    </row>
    <row r="3" spans="1:1">
      <c r="A3" s="58" t="s">
        <v>674</v>
      </c>
    </row>
    <row r="4" spans="1:1">
      <c r="A4" s="58" t="s">
        <v>675</v>
      </c>
    </row>
    <row r="5" spans="1:1">
      <c r="A5" s="58" t="s">
        <v>676</v>
      </c>
    </row>
    <row r="10" spans="1:1">
      <c r="A10" s="58"/>
    </row>
  </sheetData>
  <pageMargins left="0.7" right="0.7" top="0.75" bottom="0.75" header="0.3" footer="0.3"/>
  <pageSetup paperSize="9" orientation="portrait" r:id="rId1"/>
  <headerFooter>
    <oddFooter>&amp;Cver [version] from [date]
&amp;8©2010 This template may be used by clients of EPPS Services Ltd. www.iso27001standard.com in accordance with the Licence Agreement.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9"/>
  <sheetViews>
    <sheetView workbookViewId="0">
      <selection activeCell="A2" sqref="A2:A8"/>
    </sheetView>
  </sheetViews>
  <sheetFormatPr defaultRowHeight="15"/>
  <cols>
    <col min="1" max="1" width="19.140625" customWidth="1"/>
  </cols>
  <sheetData>
    <row r="1" spans="1:1">
      <c r="A1" t="s">
        <v>667</v>
      </c>
    </row>
    <row r="2" spans="1:1">
      <c r="A2" t="s">
        <v>680</v>
      </c>
    </row>
    <row r="3" spans="1:1">
      <c r="A3" t="s">
        <v>670</v>
      </c>
    </row>
    <row r="4" spans="1:1">
      <c r="A4" t="s">
        <v>669</v>
      </c>
    </row>
    <row r="5" spans="1:1">
      <c r="A5" t="s">
        <v>679</v>
      </c>
    </row>
    <row r="6" spans="1:1">
      <c r="A6" t="s">
        <v>681</v>
      </c>
    </row>
    <row r="7" spans="1:1">
      <c r="A7" t="s">
        <v>671</v>
      </c>
    </row>
    <row r="8" spans="1:1">
      <c r="A8" t="s">
        <v>668</v>
      </c>
    </row>
    <row r="9" spans="1:1">
      <c r="A9" t="s">
        <v>452</v>
      </c>
    </row>
  </sheetData>
  <sortState ref="A2:A8">
    <sortCondition ref="A2:A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22</vt:i4>
      </vt:variant>
    </vt:vector>
  </HeadingPairs>
  <TitlesOfParts>
    <vt:vector size="39" baseType="lpstr">
      <vt:lpstr>Cover</vt:lpstr>
      <vt:lpstr>RA-RTP (Aug2019) (2)</vt:lpstr>
      <vt:lpstr>Applicability</vt:lpstr>
      <vt:lpstr>RA-RTP (2020)</vt:lpstr>
      <vt:lpstr>Assets (2)</vt:lpstr>
      <vt:lpstr>RA-RTP</vt:lpstr>
      <vt:lpstr>RA-RTP (3)</vt:lpstr>
      <vt:lpstr>Owners</vt:lpstr>
      <vt:lpstr>Asset-types (check)</vt:lpstr>
      <vt:lpstr>Threats</vt:lpstr>
      <vt:lpstr>Vulnerabilities</vt:lpstr>
      <vt:lpstr>Impact</vt:lpstr>
      <vt:lpstr>Likelihood</vt:lpstr>
      <vt:lpstr>Acceptance</vt:lpstr>
      <vt:lpstr>Controls</vt:lpstr>
      <vt:lpstr>RTP Options</vt:lpstr>
      <vt:lpstr>RTP status</vt:lpstr>
      <vt:lpstr>'Assets (2)'!AssetsList</vt:lpstr>
      <vt:lpstr>AssetsList</vt:lpstr>
      <vt:lpstr>KontroleID</vt:lpstr>
      <vt:lpstr>LikelihoodRating</vt:lpstr>
      <vt:lpstr>ListaPrijetnji</vt:lpstr>
      <vt:lpstr>ListaPrijetnji2</vt:lpstr>
      <vt:lpstr>Opcije</vt:lpstr>
      <vt:lpstr>Options2</vt:lpstr>
      <vt:lpstr>Threats!Prijetnja</vt:lpstr>
      <vt:lpstr>Prijetnja</vt:lpstr>
      <vt:lpstr>'RA-RTP'!Print_Titles</vt:lpstr>
      <vt:lpstr>'RA-RTP (2020)'!Print_Titles</vt:lpstr>
      <vt:lpstr>'RA-RTP (3)'!Print_Titles</vt:lpstr>
      <vt:lpstr>'RA-RTP (Aug2019) (2)'!Print_Titles</vt:lpstr>
      <vt:lpstr>RatingAvailability</vt:lpstr>
      <vt:lpstr>RatingConfidentiality</vt:lpstr>
      <vt:lpstr>RatingIntegrity</vt:lpstr>
      <vt:lpstr>RiskOwners</vt:lpstr>
      <vt:lpstr>RTPoptions</vt:lpstr>
      <vt:lpstr>RTPstatus</vt:lpstr>
      <vt:lpstr>ThreatsList</vt:lpstr>
      <vt:lpstr>VulnerabitiesList</vt:lpstr>
    </vt:vector>
  </TitlesOfParts>
  <Company>Dodid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 &amp; RTP</dc:title>
  <dc:subject>ISMS</dc:subject>
  <dc:creator>Lim Sek Seong</dc:creator>
  <cp:keywords>AL</cp:keywords>
  <cp:lastModifiedBy>Lim Sek Seong</cp:lastModifiedBy>
  <cp:lastPrinted>2018-12-04T05:30:33Z</cp:lastPrinted>
  <dcterms:created xsi:type="dcterms:W3CDTF">2013-12-19T04:57:23Z</dcterms:created>
  <dcterms:modified xsi:type="dcterms:W3CDTF">2020-12-11T03:59:08Z</dcterms:modified>
</cp:coreProperties>
</file>