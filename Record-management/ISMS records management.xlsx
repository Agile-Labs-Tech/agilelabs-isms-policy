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yWork\Projects 2020\SG\AgileLab (QuESH)\AgileLab ISMS\Agile Lab ISMS (DRAFT)\AL ISMS review 201021\"/>
    </mc:Choice>
  </mc:AlternateContent>
  <bookViews>
    <workbookView xWindow="390" yWindow="450" windowWidth="14670" windowHeight="6675" tabRatio="742" activeTab="2"/>
  </bookViews>
  <sheets>
    <sheet name="Cover" sheetId="10" r:id="rId1"/>
    <sheet name="Records (ISMS) (2)" sheetId="9" state="hidden" r:id="rId2"/>
    <sheet name="Records (manuals)" sheetId="1" r:id="rId3"/>
    <sheet name="Records (Others)" sheetId="12" r:id="rId4"/>
    <sheet name="ISO clauses-controls" sheetId="15" r:id="rId5"/>
    <sheet name="Next actions" sheetId="4" r:id="rId6"/>
    <sheet name="Roles" sheetId="13" r:id="rId7"/>
    <sheet name="Depts." sheetId="14" r:id="rId8"/>
    <sheet name="Categories" sheetId="2" r:id="rId9"/>
    <sheet name="Records (sample)" sheetId="11" r:id="rId10"/>
  </sheets>
  <externalReferences>
    <externalReference r:id="rId11"/>
    <externalReference r:id="rId12"/>
    <externalReference r:id="rId13"/>
  </externalReferences>
  <definedNames>
    <definedName name="_xlnm._FilterDatabase" localSheetId="4" hidden="1">'ISO clauses-controls'!$A$1:$B$199</definedName>
    <definedName name="AssetsList">[1]Assets!$A$2:$A$50</definedName>
    <definedName name="Consolidated_Threat_Hazard_Categories">'[2]Key Risks'!$A$2:$A$21</definedName>
    <definedName name="DocsList">'[1]Master list'!$E$2:$E$39</definedName>
    <definedName name="LikelihoodRating">[1]Likelihood!$A$2:$A$6</definedName>
    <definedName name="Options">[3]Options!$A$3:$A$6</definedName>
    <definedName name="RatingAvailability">[1]Impact!$A$19:$A$23</definedName>
    <definedName name="RatingConfidentiality">[1]Impact!$A$3:$A$7</definedName>
    <definedName name="RatingIntegrity">[1]Impact!$A$11:$A$15</definedName>
    <definedName name="RiskOwners">[1]Owners!$B$2:$B$20</definedName>
    <definedName name="RTPoptions">'[1]RTP Options'!$A$2:$A$12</definedName>
    <definedName name="RTPstatus">'[1]RTP status'!$A$2:$A$17</definedName>
    <definedName name="ThreatsList">[1]Threats!$B$5:$B$197</definedName>
    <definedName name="VulnerabitiesList">[1]Vulnerabilities!$B$6:$B$300</definedName>
  </definedNames>
  <calcPr calcId="162913"/>
</workbook>
</file>

<file path=xl/calcChain.xml><?xml version="1.0" encoding="utf-8"?>
<calcChain xmlns="http://schemas.openxmlformats.org/spreadsheetml/2006/main">
  <c r="A8" i="12" l="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2" i="12" l="1"/>
  <c r="A3" i="12" s="1"/>
  <c r="A4" i="12" s="1"/>
  <c r="A5" i="12" s="1"/>
  <c r="A6" i="12" s="1"/>
  <c r="A7" i="12" s="1"/>
  <c r="H38" i="11" l="1"/>
  <c r="H28" i="11"/>
  <c r="H29" i="11" s="1"/>
  <c r="H30" i="11" s="1"/>
  <c r="H31" i="11" s="1"/>
  <c r="H32" i="11" s="1"/>
  <c r="H33" i="11" s="1"/>
  <c r="H34" i="11" s="1"/>
  <c r="H35" i="11" s="1"/>
  <c r="H36" i="11" s="1"/>
  <c r="H27" i="11"/>
  <c r="H37" i="11" s="1"/>
  <c r="H26" i="11"/>
  <c r="H3" i="11"/>
  <c r="H4" i="11" s="1"/>
  <c r="H5" i="11" s="1"/>
  <c r="H6" i="11" s="1"/>
  <c r="H7" i="11" s="1"/>
  <c r="H8" i="11" s="1"/>
  <c r="H9" i="11" s="1"/>
  <c r="H10" i="11" s="1"/>
  <c r="H11" i="11" s="1"/>
  <c r="H12" i="11" s="1"/>
  <c r="H13" i="11" s="1"/>
  <c r="H14" i="11" s="1"/>
  <c r="G3" i="11"/>
  <c r="G4" i="11" s="1"/>
  <c r="G5" i="11" s="1"/>
  <c r="G6" i="11" s="1"/>
  <c r="G7" i="11" s="1"/>
  <c r="G8" i="11" s="1"/>
  <c r="G9" i="11" s="1"/>
  <c r="G10" i="11" s="1"/>
  <c r="G11" i="11" s="1"/>
  <c r="G12" i="11" s="1"/>
  <c r="G13" i="11" s="1"/>
  <c r="G14" i="11" s="1"/>
  <c r="F3" i="11"/>
  <c r="F4" i="11" s="1"/>
  <c r="F5" i="11" s="1"/>
  <c r="F6" i="11" s="1"/>
  <c r="F7" i="11" s="1"/>
  <c r="F8" i="11" s="1"/>
  <c r="F9" i="11" s="1"/>
  <c r="F10" i="11" s="1"/>
  <c r="F11" i="11" s="1"/>
  <c r="F12" i="11" s="1"/>
  <c r="F13" i="11" s="1"/>
  <c r="F14" i="11" s="1"/>
  <c r="A2" i="11"/>
  <c r="A3" i="11" s="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H18" i="11" l="1"/>
  <c r="H16" i="11"/>
  <c r="H17" i="11"/>
  <c r="H15" i="11"/>
  <c r="F18" i="11"/>
  <c r="F17" i="11"/>
  <c r="F16" i="11"/>
  <c r="F15" i="11"/>
  <c r="G18" i="11"/>
  <c r="G17" i="11"/>
  <c r="G16" i="11"/>
  <c r="G15" i="11"/>
  <c r="G20" i="11" l="1"/>
  <c r="G21" i="11" s="1"/>
  <c r="G22" i="11" s="1"/>
  <c r="G23" i="11" s="1"/>
  <c r="G24" i="11" s="1"/>
  <c r="G25" i="11" s="1"/>
  <c r="G26" i="11" s="1"/>
  <c r="G27" i="11" s="1"/>
  <c r="G28" i="11" s="1"/>
  <c r="G29" i="11" s="1"/>
  <c r="G30" i="11" s="1"/>
  <c r="G31" i="11" s="1"/>
  <c r="G32" i="11" s="1"/>
  <c r="G33" i="11" s="1"/>
  <c r="G34" i="11" s="1"/>
  <c r="G35" i="11" s="1"/>
  <c r="G36" i="11" s="1"/>
  <c r="G37" i="11" s="1"/>
  <c r="G38" i="11" s="1"/>
  <c r="G19" i="11"/>
  <c r="H20" i="11"/>
  <c r="H21" i="11" s="1"/>
  <c r="H22" i="11" s="1"/>
  <c r="H23" i="11" s="1"/>
  <c r="H24" i="11" s="1"/>
  <c r="H25" i="11" s="1"/>
  <c r="H19" i="11"/>
  <c r="F20" i="11"/>
  <c r="F21" i="11" s="1"/>
  <c r="F22" i="11" s="1"/>
  <c r="F23" i="11" s="1"/>
  <c r="F24" i="11" s="1"/>
  <c r="F25" i="11" s="1"/>
  <c r="F26" i="11" s="1"/>
  <c r="F27" i="11" s="1"/>
  <c r="F28" i="11" s="1"/>
  <c r="F29" i="11" s="1"/>
  <c r="F30" i="11" s="1"/>
  <c r="F31" i="11" s="1"/>
  <c r="F32" i="11" s="1"/>
  <c r="F33" i="11" s="1"/>
  <c r="F34" i="11" s="1"/>
  <c r="F35" i="11" s="1"/>
  <c r="F36" i="11" s="1"/>
  <c r="F37" i="11" s="1"/>
  <c r="F38" i="11" s="1"/>
  <c r="F19" i="11"/>
  <c r="E16" i="10" l="1"/>
  <c r="A2" i="9" l="1"/>
  <c r="A3" i="9" s="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4" i="4" l="1"/>
  <c r="A5" i="4"/>
  <c r="A6" i="4"/>
  <c r="A7" i="4"/>
  <c r="A8" i="4" s="1"/>
  <c r="A9" i="4"/>
  <c r="A10" i="4"/>
  <c r="A11" i="4"/>
  <c r="A12" i="4"/>
  <c r="A13" i="4"/>
  <c r="A14" i="4"/>
  <c r="A15" i="4"/>
  <c r="A16" i="4"/>
  <c r="A17" i="4"/>
  <c r="A18" i="4"/>
  <c r="A19" i="4"/>
  <c r="A20" i="4"/>
  <c r="A21" i="4"/>
  <c r="A22" i="4"/>
  <c r="A23" i="4"/>
  <c r="A3" i="4"/>
  <c r="A2" i="4"/>
  <c r="A2" i="1" l="1"/>
  <c r="A3" i="1" l="1"/>
  <c r="A4" i="1" s="1"/>
  <c r="A5" i="1" s="1"/>
  <c r="A6" i="1" s="1"/>
  <c r="A7" i="1" s="1"/>
  <c r="A8" i="1" s="1"/>
  <c r="A9" i="1" s="1"/>
  <c r="A10" i="1" s="1"/>
  <c r="A11" i="1" s="1"/>
  <c r="A12" i="1" s="1"/>
  <c r="A13" i="1" s="1"/>
  <c r="A14" i="1" s="1"/>
  <c r="A15" i="1" l="1"/>
  <c r="A16" i="1" l="1"/>
  <c r="A17" i="1" l="1"/>
  <c r="A18" i="1" s="1"/>
  <c r="A19" i="1" s="1"/>
  <c r="A20" i="1" s="1"/>
  <c r="A21" i="1" l="1"/>
  <c r="A22" i="1" s="1"/>
  <c r="A24" i="1" s="1"/>
  <c r="A25" i="1" s="1"/>
  <c r="A26" i="1" s="1"/>
  <c r="A27" i="1" s="1"/>
  <c r="A28" i="1" s="1"/>
  <c r="A29" i="1" s="1"/>
  <c r="A30" i="1" s="1"/>
  <c r="A31" i="1" s="1"/>
  <c r="A32" i="1" s="1"/>
  <c r="A33" i="1" s="1"/>
  <c r="A34" i="1" s="1"/>
  <c r="A35" i="1" s="1"/>
  <c r="A36" i="1" s="1"/>
  <c r="A37" i="1" s="1"/>
  <c r="A38" i="1" s="1"/>
  <c r="A39" i="1" s="1"/>
  <c r="A40" i="1" s="1"/>
  <c r="A41" i="1" s="1"/>
</calcChain>
</file>

<file path=xl/sharedStrings.xml><?xml version="1.0" encoding="utf-8"?>
<sst xmlns="http://schemas.openxmlformats.org/spreadsheetml/2006/main" count="1306" uniqueCount="717">
  <si>
    <t>No.</t>
  </si>
  <si>
    <t>Doc No.</t>
  </si>
  <si>
    <t>Procedure for Internal Audit</t>
  </si>
  <si>
    <t>ISMS-03</t>
  </si>
  <si>
    <t>ISMS-04</t>
  </si>
  <si>
    <t>Information Security Policy</t>
  </si>
  <si>
    <t>ISMS-01</t>
  </si>
  <si>
    <t>ISMS-05</t>
  </si>
  <si>
    <t>ISMS-06</t>
  </si>
  <si>
    <t>ISMS-02</t>
  </si>
  <si>
    <t>Business Continuity Plan</t>
  </si>
  <si>
    <t>BCP-01</t>
  </si>
  <si>
    <t>Incident Management Procedure</t>
  </si>
  <si>
    <t>ISMS-07</t>
  </si>
  <si>
    <t>Operating Procedures for Information and Communication Technology</t>
  </si>
  <si>
    <t>ISMS-08</t>
  </si>
  <si>
    <t>Procedure for Corrective Action</t>
  </si>
  <si>
    <t>ISMS-09</t>
  </si>
  <si>
    <t>ISMS-10</t>
  </si>
  <si>
    <t>Secure Development Policy</t>
  </si>
  <si>
    <t>Supplier Security Policy</t>
  </si>
  <si>
    <t>ISMS-11</t>
  </si>
  <si>
    <t>Policy on the Use of Cryptographic Controls</t>
  </si>
  <si>
    <t>ISMS-12</t>
  </si>
  <si>
    <t>ISMS-13</t>
  </si>
  <si>
    <t>Clear Desk and Clear Screen Policy</t>
  </si>
  <si>
    <t>Disposal and Destruction Policy</t>
  </si>
  <si>
    <t>ISMS-14</t>
  </si>
  <si>
    <t>ISMS-15</t>
  </si>
  <si>
    <t>Procedures for Working in Secure Areas</t>
  </si>
  <si>
    <t>Remarks</t>
  </si>
  <si>
    <t>Status</t>
  </si>
  <si>
    <t>WIP</t>
  </si>
  <si>
    <t>Review</t>
  </si>
  <si>
    <t>Approved</t>
  </si>
  <si>
    <t>Percent %</t>
  </si>
  <si>
    <t>Assets inventory list</t>
  </si>
  <si>
    <t>NA</t>
  </si>
  <si>
    <t>Additional information requested</t>
  </si>
  <si>
    <t>ISO 22301 certified</t>
  </si>
  <si>
    <t>Appendix to ISMS-03</t>
  </si>
  <si>
    <t>Draft version; need to send for review</t>
  </si>
  <si>
    <t>Document Title</t>
  </si>
  <si>
    <t>Related Doc</t>
  </si>
  <si>
    <t>Requirements</t>
  </si>
  <si>
    <t>Clause Nos.</t>
  </si>
  <si>
    <t>To send for review</t>
  </si>
  <si>
    <t>Sent for review</t>
  </si>
  <si>
    <t>Statement of Applicability</t>
  </si>
  <si>
    <t>Risk Assessment and Treatment Methodology</t>
  </si>
  <si>
    <t>Risk  Assessment Report</t>
  </si>
  <si>
    <t>Procedures for Document and Record Control</t>
  </si>
  <si>
    <t>Procedures for Identification of Requirements</t>
  </si>
  <si>
    <t>Policy statement</t>
  </si>
  <si>
    <t>Prepared. To send for review</t>
  </si>
  <si>
    <t>Internal audit plan (annual)</t>
  </si>
  <si>
    <t>Confidential</t>
  </si>
  <si>
    <t>Record Title</t>
  </si>
  <si>
    <t>Storage location</t>
  </si>
  <si>
    <t>Person responsible for storage</t>
  </si>
  <si>
    <t>Control for record protection</t>
  </si>
  <si>
    <t>Retention time</t>
  </si>
  <si>
    <t>Risk Assessment Table (electronic form – Excel document)</t>
  </si>
  <si>
    <t>Risk Treatment Table (electronic form – Excel document)</t>
  </si>
  <si>
    <t>Risk Assessment and Treatment Report (electronic form – PDF format)</t>
  </si>
  <si>
    <t>Statement of Applicability (electronic form – PDF format)</t>
  </si>
  <si>
    <t>Risk treatment plan (electronic form – Word document)</t>
  </si>
  <si>
    <t>Server (NHBDCW01)
NAS (digital storage)</t>
  </si>
  <si>
    <t>ISO/IEC 27001:2013 Information technology — Security techniques — Information security management systems — Requirements</t>
  </si>
  <si>
    <t>Management review meeting summary</t>
  </si>
  <si>
    <t>Management review meeting minutes</t>
  </si>
  <si>
    <t>Internal audit program</t>
  </si>
  <si>
    <t>Internal audit report</t>
  </si>
  <si>
    <t>Corrective actions record</t>
  </si>
  <si>
    <t>Training feedback and evaluation records</t>
  </si>
  <si>
    <t>Job data records</t>
  </si>
  <si>
    <t>Older versions are stored for a period of 1 year</t>
  </si>
  <si>
    <t>Identification of requirements (appendix 5)</t>
  </si>
  <si>
    <t>Quality Manager</t>
  </si>
  <si>
    <t>Only Quality Manager and HFM have the right to replace the Standard file</t>
  </si>
  <si>
    <t>Only current version is stored permanently.</t>
  </si>
  <si>
    <t>The Report is stored for a period of 1 year</t>
  </si>
  <si>
    <t>Older versions of SoA are stored for a period of 1 year</t>
  </si>
  <si>
    <t>Quality Manager or the owner of the Risk Assessment Table</t>
  </si>
  <si>
    <t>Only Quality Manager has the right to make entries into and changes to the Risk Assessment Table.</t>
  </si>
  <si>
    <t>Quality Manager or the owner of the SoA table</t>
  </si>
  <si>
    <t>Only Quality Manager has the right to make entries into and changes to the SoA table.</t>
  </si>
  <si>
    <t>Quality Manager or the owner of the Risk Assessment report</t>
  </si>
  <si>
    <t>Only Quality Manager has the right to make entries into and changes to the Risk Assessment report.</t>
  </si>
  <si>
    <t>Only IT Administrator has the right to make entries into and changes to the Risk Treatment Plan.</t>
  </si>
  <si>
    <t>IT Administrator or the owner of the Risk Treatment Plan</t>
  </si>
  <si>
    <t>Criteria for classification of information</t>
  </si>
  <si>
    <t>Internal audit checklist</t>
  </si>
  <si>
    <t>Company</t>
  </si>
  <si>
    <t>Department</t>
  </si>
  <si>
    <t>Address</t>
  </si>
  <si>
    <t>Standard</t>
  </si>
  <si>
    <t>ISO27001</t>
  </si>
  <si>
    <t>Prepared by</t>
  </si>
  <si>
    <t>Date</t>
  </si>
  <si>
    <t>Approved by</t>
  </si>
  <si>
    <t>Doc. No.</t>
  </si>
  <si>
    <t>Classification</t>
  </si>
  <si>
    <t>Rev. No.</t>
  </si>
  <si>
    <t>Completed</t>
  </si>
  <si>
    <t>WIP (10%)</t>
  </si>
  <si>
    <t>WIP (25%)</t>
  </si>
  <si>
    <t>WIP (50%)</t>
  </si>
  <si>
    <t>WIP (75%)</t>
  </si>
  <si>
    <t>WIP (90%)</t>
  </si>
  <si>
    <t>Not started</t>
  </si>
  <si>
    <t>CIT Head</t>
  </si>
  <si>
    <t>SharePoint ISMS directory</t>
  </si>
  <si>
    <t>Only CIT Head have the right to replace the Standard file</t>
  </si>
  <si>
    <t>Current Revision</t>
  </si>
  <si>
    <t>ICT DRP</t>
  </si>
  <si>
    <t>DRP-01</t>
  </si>
  <si>
    <t>Firewall Administration Policy</t>
  </si>
  <si>
    <t>ISMS-16</t>
  </si>
  <si>
    <t>ISMS-17</t>
  </si>
  <si>
    <t>ICT Procurement Policy and Procedures</t>
  </si>
  <si>
    <r>
      <t>1</t>
    </r>
    <r>
      <rPr>
        <vertAlign val="superscript"/>
        <sz val="10"/>
        <color theme="1"/>
        <rFont val="Arial"/>
        <family val="2"/>
      </rPr>
      <t>st</t>
    </r>
    <r>
      <rPr>
        <sz val="10"/>
        <color theme="1"/>
        <rFont val="Arial"/>
        <family val="2"/>
      </rPr>
      <t xml:space="preserve"> draft for review</t>
    </r>
  </si>
  <si>
    <t>ISMS Communications &amp; Continual Improvement Policy</t>
  </si>
  <si>
    <t>Information Retention Policy</t>
  </si>
  <si>
    <t>ISMS-18</t>
  </si>
  <si>
    <t>Risk Treatment Table/Plan (electronic form – Excel/Word document)</t>
  </si>
  <si>
    <t>Statement of Applicability (required for ISMS)</t>
  </si>
  <si>
    <t>Legal register (required for ISMS)</t>
  </si>
  <si>
    <t>Risk Assessment and Treatment Methodology (Framework) Manual</t>
  </si>
  <si>
    <t>ISO/IEC 27001:2013 Information technology ‒ Security techniques ‒ Information security management systems ‒ Requirements</t>
  </si>
  <si>
    <t>Update RA criteria</t>
  </si>
  <si>
    <t>Remote Access Policy</t>
  </si>
  <si>
    <t>ISMS-19</t>
  </si>
  <si>
    <t>ISMS-20</t>
  </si>
  <si>
    <t>Vulnerability Assessment &amp; Penetration Testing Policy</t>
  </si>
  <si>
    <t>ISMS-21</t>
  </si>
  <si>
    <t>Privileged Access Management Policy</t>
  </si>
  <si>
    <t>Patch Management Policy</t>
  </si>
  <si>
    <t>ISMS-22</t>
  </si>
  <si>
    <t>Agile Lab Pte. Ltd.</t>
  </si>
  <si>
    <t>Anti-malware Policy</t>
  </si>
  <si>
    <t>ISMS-23</t>
  </si>
  <si>
    <t xml:space="preserve">ISMS Records Management </t>
  </si>
  <si>
    <t>Lim Sek Seong &amp; Daniel Lim</t>
  </si>
  <si>
    <t>73 Ayer Rajah Crescent, #02-28, Singapore 139952</t>
  </si>
  <si>
    <t xml:space="preserve">Role </t>
  </si>
  <si>
    <t>Title</t>
  </si>
  <si>
    <t>Code</t>
  </si>
  <si>
    <t>Approver</t>
  </si>
  <si>
    <t>Approve policies and procedure manuals</t>
  </si>
  <si>
    <t>Reviewer</t>
  </si>
  <si>
    <t>Review and provide feedback</t>
  </si>
  <si>
    <t>Preparer</t>
  </si>
  <si>
    <t>Prepare policies, procedures, information, etc.</t>
  </si>
  <si>
    <t>Project Sponsor</t>
  </si>
  <si>
    <t>Senior management representative; guide; set directions</t>
  </si>
  <si>
    <t>Project Manager</t>
  </si>
  <si>
    <t>Internal project manager</t>
  </si>
  <si>
    <t>Dept. Code</t>
  </si>
  <si>
    <t>Department Title</t>
  </si>
  <si>
    <t>Key functions and activities</t>
  </si>
  <si>
    <t>FIN</t>
  </si>
  <si>
    <t xml:space="preserve">Finance </t>
  </si>
  <si>
    <t>HR</t>
  </si>
  <si>
    <t>Human Resources</t>
  </si>
  <si>
    <t>BD</t>
  </si>
  <si>
    <t>Business Development</t>
  </si>
  <si>
    <t>SD</t>
  </si>
  <si>
    <t>Sales Department</t>
  </si>
  <si>
    <t>APP</t>
  </si>
  <si>
    <t>Application Development</t>
  </si>
  <si>
    <t>CSA</t>
  </si>
  <si>
    <t>Customer Service; Sales Admin</t>
  </si>
  <si>
    <t>TS</t>
  </si>
  <si>
    <t>Technical Support</t>
  </si>
  <si>
    <t>ICT</t>
  </si>
  <si>
    <t>IS</t>
  </si>
  <si>
    <t>ISO/IEC 27001:2019 Information technology ‒ Security techniques ‒ Information security management systems ‒ Requirements</t>
  </si>
  <si>
    <t xml:space="preserve">Assets inventory list </t>
  </si>
  <si>
    <t>Identification of requirements</t>
  </si>
  <si>
    <t>Internal ICT</t>
  </si>
  <si>
    <t>Internal IS</t>
  </si>
  <si>
    <t>Draft</t>
  </si>
  <si>
    <t>Information Security Management System Manual</t>
  </si>
  <si>
    <t>Context of organisation</t>
  </si>
  <si>
    <t>Reference</t>
  </si>
  <si>
    <t>RA and RTP (combined)</t>
  </si>
  <si>
    <t>Template (blank)</t>
  </si>
  <si>
    <t>Management review meeting records</t>
  </si>
  <si>
    <t>Only flow chart available</t>
  </si>
  <si>
    <t>To be amended</t>
  </si>
  <si>
    <t>ID</t>
  </si>
  <si>
    <t xml:space="preserve">Controls </t>
  </si>
  <si>
    <t>A.5</t>
  </si>
  <si>
    <t>Information security policies</t>
  </si>
  <si>
    <t>A.5.1</t>
  </si>
  <si>
    <t>Management direction for information security</t>
  </si>
  <si>
    <r>
      <rPr>
        <b/>
        <sz val="10"/>
        <color rgb="FF000000"/>
        <rFont val="Arial"/>
        <family val="2"/>
      </rPr>
      <t>Objective</t>
    </r>
    <r>
      <rPr>
        <sz val="10"/>
        <color rgb="FF000000"/>
        <rFont val="Arial"/>
        <family val="2"/>
      </rPr>
      <t>: To provide management direction and support for information security in accordance with business requirements and relevant laws and regulations</t>
    </r>
  </si>
  <si>
    <t>A.5.1.1</t>
  </si>
  <si>
    <t>Policies for information security</t>
  </si>
  <si>
    <t>A set of policies for information security shall be defined, approved by management, published and communicated to employees and relevant external parties.</t>
  </si>
  <si>
    <t>A.5.1.2</t>
  </si>
  <si>
    <t>Review of the policies for information security</t>
  </si>
  <si>
    <t>The policies for information security shall be reviewed at planned intervals or if significant changes occur to ensure their continuing suitability, adequacy and effectiveness.</t>
  </si>
  <si>
    <t>A.6</t>
  </si>
  <si>
    <t>Organization of information security</t>
  </si>
  <si>
    <t>A.6.1</t>
  </si>
  <si>
    <t>Internal organization</t>
  </si>
  <si>
    <r>
      <rPr>
        <b/>
        <sz val="10"/>
        <color rgb="FF000000"/>
        <rFont val="Arial"/>
        <family val="2"/>
      </rPr>
      <t>Objective</t>
    </r>
    <r>
      <rPr>
        <sz val="10"/>
        <color rgb="FF000000"/>
        <rFont val="Arial"/>
        <family val="2"/>
      </rPr>
      <t>: To establish a management framework to initiate and control the implementation and operation of information security within the organization.</t>
    </r>
  </si>
  <si>
    <t>A.6.1.1</t>
  </si>
  <si>
    <t>Information security roles and responsibilities</t>
  </si>
  <si>
    <t>All information security responsibilities shall be defined and allocated.</t>
  </si>
  <si>
    <t>A.6.1.2</t>
  </si>
  <si>
    <t>Segregation of duties</t>
  </si>
  <si>
    <t>Conflicting duties and areas of responsibility shall be segregated to reduce opportunities for unauthorized or unintentional modification or misuse of the organization's assets.</t>
  </si>
  <si>
    <t>A.6.1.3</t>
  </si>
  <si>
    <t>Contact with authorities</t>
  </si>
  <si>
    <t>Appropriate contacts with relevant authorities shall be maintained.</t>
  </si>
  <si>
    <t>A.6.1.4</t>
  </si>
  <si>
    <t>Contact with special interest groups</t>
  </si>
  <si>
    <t>Appropriate contacts with special interest groups or other specialist security forums and professional associations shall be maintained.</t>
  </si>
  <si>
    <t>A.6.1.5</t>
  </si>
  <si>
    <t>Information security in project management</t>
  </si>
  <si>
    <t>Information security shall be addressed in project management, regardless of the type of project.</t>
  </si>
  <si>
    <t>A.6.2</t>
  </si>
  <si>
    <t>Mobile devices and teleworking</t>
  </si>
  <si>
    <r>
      <rPr>
        <b/>
        <sz val="10"/>
        <color rgb="FF000000"/>
        <rFont val="Arial"/>
        <family val="2"/>
      </rPr>
      <t>Objective</t>
    </r>
    <r>
      <rPr>
        <sz val="10"/>
        <color rgb="FF000000"/>
        <rFont val="Arial"/>
        <family val="2"/>
      </rPr>
      <t>: To ensure the security of teleworking and use of mobile devices.</t>
    </r>
  </si>
  <si>
    <t>A.6.2.1</t>
  </si>
  <si>
    <t>Mobile device policy</t>
  </si>
  <si>
    <t>A policy and supporting security measures shall be adopted to manage the risks introduced by using mobile devices.</t>
  </si>
  <si>
    <t>A.6.2.2</t>
  </si>
  <si>
    <t>Teleworking</t>
  </si>
  <si>
    <t>A policy and supporting security measures shall be implemented to protect information accessed, processed or stored at teleworking sites.</t>
  </si>
  <si>
    <t>A.7</t>
  </si>
  <si>
    <t>Human resource security</t>
  </si>
  <si>
    <t>A.7.1</t>
  </si>
  <si>
    <t>Prior to employment</t>
  </si>
  <si>
    <r>
      <rPr>
        <b/>
        <sz val="10"/>
        <color rgb="FF000000"/>
        <rFont val="Arial"/>
        <family val="2"/>
      </rPr>
      <t>Objective</t>
    </r>
    <r>
      <rPr>
        <sz val="10"/>
        <color rgb="FF000000"/>
        <rFont val="Arial"/>
        <family val="2"/>
      </rPr>
      <t>: To ensure that employees and contractors understand their responsibilities and are suitable for the roles for which they are considered.</t>
    </r>
  </si>
  <si>
    <t>A.7.1.1</t>
  </si>
  <si>
    <t>Screening</t>
  </si>
  <si>
    <t>Background verification checks on all candidates for employment shall be carried out in accordance with relevant laws, regulations and ethics, and shall be proportional to the business requirements, the classification of the information to accessed and the perceived risks.</t>
  </si>
  <si>
    <t>A.7.1.2</t>
  </si>
  <si>
    <t>Terms and conditions of employment</t>
  </si>
  <si>
    <t>The contractual agreements with employees and contractors shall state their and the organization's responsibilities for information security.</t>
  </si>
  <si>
    <t>A.7.2</t>
  </si>
  <si>
    <t>During employment</t>
  </si>
  <si>
    <r>
      <rPr>
        <b/>
        <sz val="10"/>
        <color rgb="FF000000"/>
        <rFont val="Arial"/>
        <family val="2"/>
      </rPr>
      <t>Objective</t>
    </r>
    <r>
      <rPr>
        <sz val="10"/>
        <color rgb="FF000000"/>
        <rFont val="Arial"/>
        <family val="2"/>
      </rPr>
      <t>: To ensure that employees and contractors are aware of and fulfil their information security responsibilities.</t>
    </r>
  </si>
  <si>
    <t>A.7.2.1</t>
  </si>
  <si>
    <t>Management responsibilities</t>
  </si>
  <si>
    <t>Management shall require all employees and contractors to apply information security in accordance with the established policies and procedures for the organization.</t>
  </si>
  <si>
    <t>A.7.2.2</t>
  </si>
  <si>
    <t>Information security awareness, education and training</t>
  </si>
  <si>
    <t>All employees of the organization and, where relevant, contractors shall receive appropriate awareness education and training, and regular updates in the organizational policies and procedures, as relevant for their job function.</t>
  </si>
  <si>
    <t>A.7.2.3</t>
  </si>
  <si>
    <t>Disciplinary process</t>
  </si>
  <si>
    <t>There shall be a formal and communicated disciplinary process in place to take action against employees who have committed an information security breach.</t>
  </si>
  <si>
    <t>A.7.3</t>
  </si>
  <si>
    <t>Termination and change of employment</t>
  </si>
  <si>
    <r>
      <rPr>
        <b/>
        <sz val="10"/>
        <color rgb="FF000000"/>
        <rFont val="Arial"/>
        <family val="2"/>
      </rPr>
      <t>Objective</t>
    </r>
    <r>
      <rPr>
        <sz val="10"/>
        <color rgb="FF000000"/>
        <rFont val="Arial"/>
        <family val="2"/>
      </rPr>
      <t>: To protect the organization's interests as part of the process of changing or terminating employment.</t>
    </r>
  </si>
  <si>
    <t>A.7.3.1</t>
  </si>
  <si>
    <t>Termination or change of employment responsibilities</t>
  </si>
  <si>
    <t>Information security responsibilities and duties that remain valid after termination or change of employment shall be defined and communicated to the employee or contractor, and enforced.</t>
  </si>
  <si>
    <t>A.8</t>
  </si>
  <si>
    <t>Asset management</t>
  </si>
  <si>
    <t>A.8.1</t>
  </si>
  <si>
    <t>Responsibility for assets</t>
  </si>
  <si>
    <r>
      <rPr>
        <b/>
        <sz val="10"/>
        <color rgb="FF000000"/>
        <rFont val="Arial"/>
        <family val="2"/>
      </rPr>
      <t>Objective</t>
    </r>
    <r>
      <rPr>
        <sz val="10"/>
        <color rgb="FF000000"/>
        <rFont val="Arial"/>
        <family val="2"/>
      </rPr>
      <t>: To  identify organizational assets and define appropriate protection responsibilities.</t>
    </r>
  </si>
  <si>
    <t>A.8.1.1</t>
  </si>
  <si>
    <t>Inventory of assets</t>
  </si>
  <si>
    <t>Assets associated with information and information processing facilities shall be identified and an inventory of these assets shall be drawn up and maintained.</t>
  </si>
  <si>
    <t>A.8.1.2</t>
  </si>
  <si>
    <t>Ownership of assets</t>
  </si>
  <si>
    <t>Assets maintained in the inventory shall be owned.</t>
  </si>
  <si>
    <t>A.8.1.3</t>
  </si>
  <si>
    <t>Acceptable use of assets</t>
  </si>
  <si>
    <t>Rules for the acceptable use of information and of assets associated with the information and information processing facilities shall be identified, documented and implemented.</t>
  </si>
  <si>
    <t>A.8.1.4</t>
  </si>
  <si>
    <t>Return of assets</t>
  </si>
  <si>
    <t>All employees and external party users shall return all of the organizational assets in their possession upon termination of their employment, contract or agreement.</t>
  </si>
  <si>
    <t>A.8.2</t>
  </si>
  <si>
    <t>Information classification</t>
  </si>
  <si>
    <r>
      <rPr>
        <b/>
        <sz val="10"/>
        <color rgb="FF000000"/>
        <rFont val="Arial"/>
        <family val="2"/>
      </rPr>
      <t>Objective</t>
    </r>
    <r>
      <rPr>
        <sz val="10"/>
        <color rgb="FF000000"/>
        <rFont val="Arial"/>
        <family val="2"/>
      </rPr>
      <t>: To ensure that information receives an appropriate level of protection in accordance with its importance to the organization.</t>
    </r>
  </si>
  <si>
    <t>A.8.2.1</t>
  </si>
  <si>
    <t>Classification of information</t>
  </si>
  <si>
    <t>Information shall be classified in terms of legal requirements, value, criticality and sensitivity to unauthorized disclosure or modification.</t>
  </si>
  <si>
    <t>A.8.2.2</t>
  </si>
  <si>
    <t>Labelling of information</t>
  </si>
  <si>
    <t>An appropriate set of procedures for information labelling shall be developed and implemented in accordance with the information classification scheme adopted by the organization.</t>
  </si>
  <si>
    <t>A.8.2.3</t>
  </si>
  <si>
    <t>Handling of assets</t>
  </si>
  <si>
    <t>Procedures for handling assets shall be developed and implemented in accordance with the information classification scheme adopted by the organization.</t>
  </si>
  <si>
    <t>A.8.3</t>
  </si>
  <si>
    <t>Media handling</t>
  </si>
  <si>
    <r>
      <rPr>
        <b/>
        <sz val="10"/>
        <color rgb="FF000000"/>
        <rFont val="Arial"/>
        <family val="2"/>
      </rPr>
      <t>Objective</t>
    </r>
    <r>
      <rPr>
        <sz val="10"/>
        <color rgb="FF000000"/>
        <rFont val="Arial"/>
        <family val="2"/>
      </rPr>
      <t>: To prevent unauthorized disclosure, modification, removal or destruction of information stored on media.</t>
    </r>
  </si>
  <si>
    <t>A.8.3.1</t>
  </si>
  <si>
    <t>Management of removable media</t>
  </si>
  <si>
    <t>Procedures shall be implemented for the management of removable media in accordance with the classification scheme adopted by the organization.</t>
  </si>
  <si>
    <t>A.8.3.2</t>
  </si>
  <si>
    <t>Disposal of media</t>
  </si>
  <si>
    <t>Media shall be disposed of securely when no longer required, using formal procedures.</t>
  </si>
  <si>
    <t>A.8.3.3</t>
  </si>
  <si>
    <t>Physical media transfer</t>
  </si>
  <si>
    <t>Media containing information shall be protected against unauthorized access, misuse or corruption during transportation.</t>
  </si>
  <si>
    <t>A.9</t>
  </si>
  <si>
    <t>Access control</t>
  </si>
  <si>
    <t>A.9.1</t>
  </si>
  <si>
    <t>Business requirements of access control</t>
  </si>
  <si>
    <r>
      <rPr>
        <b/>
        <sz val="10"/>
        <color rgb="FF000000"/>
        <rFont val="Arial"/>
        <family val="2"/>
      </rPr>
      <t>Objective</t>
    </r>
    <r>
      <rPr>
        <sz val="10"/>
        <color rgb="FF000000"/>
        <rFont val="Arial"/>
        <family val="2"/>
      </rPr>
      <t>: To limit access to information and processing facilities.</t>
    </r>
  </si>
  <si>
    <t>A.9.1.1</t>
  </si>
  <si>
    <t>Access control policy</t>
  </si>
  <si>
    <t>An access control policy shall be established, documented and reviewed based on business and information security requirements.</t>
  </si>
  <si>
    <t>A.9.1.2</t>
  </si>
  <si>
    <t>Access to networks and network services</t>
  </si>
  <si>
    <t>Users shall only be provided with access to the network and network services that they have been specifically authorized to use.</t>
  </si>
  <si>
    <t>A.9.2</t>
  </si>
  <si>
    <t>User access management</t>
  </si>
  <si>
    <r>
      <rPr>
        <b/>
        <sz val="10"/>
        <color rgb="FF000000"/>
        <rFont val="Arial"/>
        <family val="2"/>
      </rPr>
      <t>Objective</t>
    </r>
    <r>
      <rPr>
        <sz val="10"/>
        <color rgb="FF000000"/>
        <rFont val="Arial"/>
        <family val="2"/>
      </rPr>
      <t>: To ensure authorized user access and to prevent unauthorized user access to systems and services.</t>
    </r>
  </si>
  <si>
    <t>A.9.2.1</t>
  </si>
  <si>
    <t>User registration and de-registration</t>
  </si>
  <si>
    <t>A formal user registration and de-registration process shall be implemented to enable assignment of access rights.</t>
  </si>
  <si>
    <t>A.9.2.2</t>
  </si>
  <si>
    <t>User access provisioning</t>
  </si>
  <si>
    <t>A formal user access provisioning process shall be implemented to assign or revoke access rights for all user types to all systems and services.</t>
  </si>
  <si>
    <t>A.9.2.3</t>
  </si>
  <si>
    <t>Management of privileged access rights</t>
  </si>
  <si>
    <t>The allocation and use of privileges access rights shall be restricted and controlled.</t>
  </si>
  <si>
    <t>A.9.2.4</t>
  </si>
  <si>
    <t>Management of secret authentication information of users</t>
  </si>
  <si>
    <t>The allocation of secret authentication information shall be controlled through a formal management process.</t>
  </si>
  <si>
    <t>A.9.2.5</t>
  </si>
  <si>
    <t>Review of user access rights</t>
  </si>
  <si>
    <t>Asset owners shall review users' access rights at regular intervals.</t>
  </si>
  <si>
    <t>A.9.2.6</t>
  </si>
  <si>
    <t>Removal or adjustment of access rights</t>
  </si>
  <si>
    <t>The access rights of all employees and external party users to information and information processing facilities shall be removed upon termination of their employment, contract or agreement, or adjusted upon change.</t>
  </si>
  <si>
    <t>A.9.3</t>
  </si>
  <si>
    <t>User responsibilities</t>
  </si>
  <si>
    <r>
      <rPr>
        <b/>
        <sz val="10"/>
        <color rgb="FF000000"/>
        <rFont val="Arial"/>
        <family val="2"/>
      </rPr>
      <t>Objective</t>
    </r>
    <r>
      <rPr>
        <sz val="10"/>
        <color rgb="FF000000"/>
        <rFont val="Arial"/>
        <family val="2"/>
      </rPr>
      <t>: To make users accountable for safeguarding their authentication information.</t>
    </r>
  </si>
  <si>
    <t>A.9.3.1</t>
  </si>
  <si>
    <t>Use of secret authentication information</t>
  </si>
  <si>
    <t>Users shall be required to follow the organization's practices in the use of secret authentication information.</t>
  </si>
  <si>
    <t>A.9.4</t>
  </si>
  <si>
    <t>System and application access control</t>
  </si>
  <si>
    <r>
      <rPr>
        <b/>
        <sz val="10"/>
        <color rgb="FF000000"/>
        <rFont val="Arial"/>
        <family val="2"/>
      </rPr>
      <t>Objective</t>
    </r>
    <r>
      <rPr>
        <sz val="10"/>
        <color rgb="FF000000"/>
        <rFont val="Arial"/>
        <family val="2"/>
      </rPr>
      <t>: To prevent unauthorized access to systems and applications.</t>
    </r>
  </si>
  <si>
    <t>A.9.4.1</t>
  </si>
  <si>
    <t>Information access restriction</t>
  </si>
  <si>
    <t>Access to information and application system functions shall be restricted in accordance with the access control policy.</t>
  </si>
  <si>
    <t>A.9.4.2</t>
  </si>
  <si>
    <t>Secure log-on procedures</t>
  </si>
  <si>
    <t>Where required by the access control policy, access to systems and applications shall be controlled by a secure log-on procedure.</t>
  </si>
  <si>
    <t>A.9.4.3</t>
  </si>
  <si>
    <t>Password management system</t>
  </si>
  <si>
    <t>Password management systems shall be interactive and shall ensure quality passwords.</t>
  </si>
  <si>
    <t>A.9.4.4</t>
  </si>
  <si>
    <t>Use of privileged utility programs</t>
  </si>
  <si>
    <t>The use of utility programs that might be capable of overriding system and application controls shall be restricted and tightly controlled.</t>
  </si>
  <si>
    <t>A.9.4.5</t>
  </si>
  <si>
    <t>Access control to program source code</t>
  </si>
  <si>
    <t>Access to program source code shall be restricted.</t>
  </si>
  <si>
    <t>A.10</t>
  </si>
  <si>
    <t>Cryptography</t>
  </si>
  <si>
    <t>A.10.1</t>
  </si>
  <si>
    <t>Cryptographic controls</t>
  </si>
  <si>
    <r>
      <rPr>
        <b/>
        <sz val="10"/>
        <color rgb="FF000000"/>
        <rFont val="Arial"/>
        <family val="2"/>
      </rPr>
      <t>Objective</t>
    </r>
    <r>
      <rPr>
        <sz val="10"/>
        <color rgb="FF000000"/>
        <rFont val="Arial"/>
        <family val="2"/>
      </rPr>
      <t>: To ensure proper and effective use of cryptography to protect the confidentiality, authenticity and/or integrity of information.</t>
    </r>
  </si>
  <si>
    <t>A.10.1.1</t>
  </si>
  <si>
    <t>Policy on the use of cryptographic controls</t>
  </si>
  <si>
    <t>A policy on the use of cryptographic controls for protection of information shall be developed and implemented.</t>
  </si>
  <si>
    <t>A.10.1.2</t>
  </si>
  <si>
    <t>Key management</t>
  </si>
  <si>
    <t>A policy on the use, protection and lifetime of cryptographic keys shall be developed and implemented through the whole lifecycle.</t>
  </si>
  <si>
    <t>A.11</t>
  </si>
  <si>
    <t>Physical and environmental security</t>
  </si>
  <si>
    <t>A.11.1</t>
  </si>
  <si>
    <t>Secure areas</t>
  </si>
  <si>
    <r>
      <rPr>
        <b/>
        <sz val="10"/>
        <color rgb="FF000000"/>
        <rFont val="Arial"/>
        <family val="2"/>
      </rPr>
      <t>Objective</t>
    </r>
    <r>
      <rPr>
        <sz val="10"/>
        <color rgb="FF000000"/>
        <rFont val="Arial"/>
        <family val="2"/>
      </rPr>
      <t>: To prevent unauthorized physical access, damage and interference to the organization's information and information processing facilities.</t>
    </r>
  </si>
  <si>
    <t>A.11.1.1</t>
  </si>
  <si>
    <t>Physical security perimeter</t>
  </si>
  <si>
    <t>Security perimeters shall be defined and used to protect areas that contain either sensitive or critical information and information processing facilities.</t>
  </si>
  <si>
    <t>A.11.1.2</t>
  </si>
  <si>
    <t>Physical entry controls</t>
  </si>
  <si>
    <t>Secure areas shall be protected by appropriate entry controls to ensure that only authorized personnel are allowed access.</t>
  </si>
  <si>
    <t>A.11.1.3</t>
  </si>
  <si>
    <t>Securing offices, rooms and facilities</t>
  </si>
  <si>
    <t>Physical security for offices, rooms and facilities shall be designed and applied.</t>
  </si>
  <si>
    <t>A.11.1.4</t>
  </si>
  <si>
    <t>Protecting against external and environmental threats</t>
  </si>
  <si>
    <t>Physical protection against natural disasters, malicious attack or accidents shall be designed and applied.</t>
  </si>
  <si>
    <t>A.11.1.5</t>
  </si>
  <si>
    <t>Working in secure areas</t>
  </si>
  <si>
    <t>Procedures for working in secure areas shall be designed and applied.</t>
  </si>
  <si>
    <t>A.11.1.6</t>
  </si>
  <si>
    <t>Delivery and loading areas</t>
  </si>
  <si>
    <t>Access points such as delivery and loading areas, and other points where unauthorized persons could enter the premises shall be controlled and, if possible, isolated from information processing facilities to avoid unauthorized access.</t>
  </si>
  <si>
    <t>A.11.2</t>
  </si>
  <si>
    <t>Equipment</t>
  </si>
  <si>
    <r>
      <rPr>
        <b/>
        <sz val="10"/>
        <color rgb="FF000000"/>
        <rFont val="Arial"/>
        <family val="2"/>
      </rPr>
      <t>Objective</t>
    </r>
    <r>
      <rPr>
        <sz val="10"/>
        <color rgb="FF000000"/>
        <rFont val="Arial"/>
        <family val="2"/>
      </rPr>
      <t>: To prevent loss, damage, theft or compromise of assets and interruption to the organization's operations.</t>
    </r>
  </si>
  <si>
    <t>A.11.2.1</t>
  </si>
  <si>
    <t>Equipment siting and protection</t>
  </si>
  <si>
    <t>Equipment shall be sited and protected to reduce the risks from environmental threats and hazards, and opportunities for unauthorized access.</t>
  </si>
  <si>
    <t>A.11.2.2</t>
  </si>
  <si>
    <t>Supporting utilities</t>
  </si>
  <si>
    <t>Equipment shall be protected from power failures and other disruptions caused by failures in supporting utilities.</t>
  </si>
  <si>
    <t>A.11.2.3</t>
  </si>
  <si>
    <t>Cabling security</t>
  </si>
  <si>
    <t>Power and telecommunications cabling carrying data or supporting information services shall be protected from interception, interference or damage.</t>
  </si>
  <si>
    <t>A.11.2.4</t>
  </si>
  <si>
    <t>Equipment maintenance</t>
  </si>
  <si>
    <t>Equipment shall be correctly maintained to ensure its continued availability and integrity.</t>
  </si>
  <si>
    <t>A.11.2.5</t>
  </si>
  <si>
    <t>Removal of assets</t>
  </si>
  <si>
    <t>Equipment, information or software shall not be taken off-site without prior authorization.</t>
  </si>
  <si>
    <t>A.11.2.6</t>
  </si>
  <si>
    <t>Security of equipment and assets off-premises</t>
  </si>
  <si>
    <t>Security shall be applied to off-site assets taking into account the different risks or working outside the organization's premises.</t>
  </si>
  <si>
    <t>A.11.2.7</t>
  </si>
  <si>
    <t>Secure disposal or reuse of equipment</t>
  </si>
  <si>
    <t>All items of equipment containing storage media shall be verified to ensure that any sensitive data and licensed software has been removed or securely overwritten prior to disposal or re-use.</t>
  </si>
  <si>
    <t>A.11.2.8</t>
  </si>
  <si>
    <t>Unattended user equipment</t>
  </si>
  <si>
    <t>Users shall ensure that unattended equipment has appropriate protection.</t>
  </si>
  <si>
    <t>A.11.2.9</t>
  </si>
  <si>
    <t>Clear desk and clear screen policy</t>
  </si>
  <si>
    <t>A clear desk policy for papers and removable storage media and a clear screen policy for information processing facilities shall be adopted.</t>
  </si>
  <si>
    <t>A.12</t>
  </si>
  <si>
    <t>Operations security</t>
  </si>
  <si>
    <t>A.12.1</t>
  </si>
  <si>
    <t>Operational procedures and responsibilities</t>
  </si>
  <si>
    <r>
      <rPr>
        <b/>
        <sz val="10"/>
        <color rgb="FF000000"/>
        <rFont val="Arial"/>
        <family val="2"/>
      </rPr>
      <t>Objective</t>
    </r>
    <r>
      <rPr>
        <sz val="10"/>
        <color rgb="FF000000"/>
        <rFont val="Arial"/>
        <family val="2"/>
      </rPr>
      <t>: To ensure correct and secure operations of information processing facilities.</t>
    </r>
  </si>
  <si>
    <t>A.12.1.1</t>
  </si>
  <si>
    <t>Documented operating procedures</t>
  </si>
  <si>
    <t>Operating procedures shall be documented and made available to users who need them.</t>
  </si>
  <si>
    <t>A.12.1.2</t>
  </si>
  <si>
    <t>Change management</t>
  </si>
  <si>
    <t>Changes to the organization, business processes, information processing facilities and systems that affect information security shall be controlled.</t>
  </si>
  <si>
    <t>A.12.1.3</t>
  </si>
  <si>
    <t>Capacity management</t>
  </si>
  <si>
    <t>The use of resources shall be monitored, tuned and projections made of future capacity requirements to ensure the required system performance.</t>
  </si>
  <si>
    <t>A.12.1.4</t>
  </si>
  <si>
    <t>Separation of development, testing and operational environments</t>
  </si>
  <si>
    <t>Development, testing, and operational environments shall be separated to reduce the risks of unauthorized access or changes to the operational environment.</t>
  </si>
  <si>
    <t>A.12.2</t>
  </si>
  <si>
    <t>Protection from malware</t>
  </si>
  <si>
    <r>
      <rPr>
        <b/>
        <sz val="10"/>
        <color rgb="FF000000"/>
        <rFont val="Arial"/>
        <family val="2"/>
      </rPr>
      <t>Objective</t>
    </r>
    <r>
      <rPr>
        <sz val="10"/>
        <color rgb="FF000000"/>
        <rFont val="Arial"/>
        <family val="2"/>
      </rPr>
      <t>: To ensure that information and information processing facilities are protected against malware.</t>
    </r>
  </si>
  <si>
    <t>A.12.2.1</t>
  </si>
  <si>
    <t>Controls against malware</t>
  </si>
  <si>
    <t>Detection, prevention and recovery controls to protect against malware shall be implemented, combined with appropriate user awareness.</t>
  </si>
  <si>
    <t>A.12.3</t>
  </si>
  <si>
    <t>Backup</t>
  </si>
  <si>
    <r>
      <rPr>
        <b/>
        <sz val="10"/>
        <color rgb="FF000000"/>
        <rFont val="Arial"/>
        <family val="2"/>
      </rPr>
      <t>Objective</t>
    </r>
    <r>
      <rPr>
        <sz val="10"/>
        <color rgb="FF000000"/>
        <rFont val="Arial"/>
        <family val="2"/>
      </rPr>
      <t>: To protect against data loss.</t>
    </r>
  </si>
  <si>
    <t>A.12.3.1</t>
  </si>
  <si>
    <t>Information backup</t>
  </si>
  <si>
    <t>Backup copies of information, software and system images shall be taken and tested regularly in accordance with an agreed backup policy.</t>
  </si>
  <si>
    <t>A.12.4</t>
  </si>
  <si>
    <t>Logging and monitoring</t>
  </si>
  <si>
    <r>
      <rPr>
        <b/>
        <sz val="10"/>
        <color rgb="FF000000"/>
        <rFont val="Arial"/>
        <family val="2"/>
      </rPr>
      <t>Objective</t>
    </r>
    <r>
      <rPr>
        <sz val="10"/>
        <color rgb="FF000000"/>
        <rFont val="Arial"/>
        <family val="2"/>
      </rPr>
      <t>: To record events and generate evidence.</t>
    </r>
  </si>
  <si>
    <t>A.12.4.1</t>
  </si>
  <si>
    <t>Event logging</t>
  </si>
  <si>
    <t>Event logs recording user activities, exceptions, faults and information security events shall be produced, kept and regularly reviewed.</t>
  </si>
  <si>
    <t>A.12.4.2</t>
  </si>
  <si>
    <t>Protection of log information</t>
  </si>
  <si>
    <t>Logging facilities and log information shall be protected against tampering and unauthorized access.</t>
  </si>
  <si>
    <t>A.12.4.3</t>
  </si>
  <si>
    <t>Administrator and operator logs</t>
  </si>
  <si>
    <t>System administrator and system operation activities shall be logged and the logs protected and regularly reviewed.</t>
  </si>
  <si>
    <t>A.12.4.4</t>
  </si>
  <si>
    <t>Clock synchronization</t>
  </si>
  <si>
    <t>The clocks of all relevant information processing systems within an organization or security domain shall be synchronized to a single reference time source.</t>
  </si>
  <si>
    <t>A.12.5</t>
  </si>
  <si>
    <t>Control of operational software</t>
  </si>
  <si>
    <r>
      <rPr>
        <b/>
        <sz val="10"/>
        <color rgb="FF000000"/>
        <rFont val="Arial"/>
        <family val="2"/>
      </rPr>
      <t>Objective</t>
    </r>
    <r>
      <rPr>
        <sz val="10"/>
        <color rgb="FF000000"/>
        <rFont val="Arial"/>
        <family val="2"/>
      </rPr>
      <t>: To ensure integrity of operational systems.</t>
    </r>
  </si>
  <si>
    <t>A.12.5.1</t>
  </si>
  <si>
    <t>Installation of software on operational systems</t>
  </si>
  <si>
    <t>Procedures shall be implemented to control the installation of software on operational systems.</t>
  </si>
  <si>
    <t>A.12.6</t>
  </si>
  <si>
    <t>Technical vulnerability management</t>
  </si>
  <si>
    <r>
      <rPr>
        <b/>
        <sz val="10"/>
        <color rgb="FF000000"/>
        <rFont val="Arial"/>
        <family val="2"/>
      </rPr>
      <t>Objective</t>
    </r>
    <r>
      <rPr>
        <sz val="10"/>
        <color rgb="FF000000"/>
        <rFont val="Arial"/>
        <family val="2"/>
      </rPr>
      <t>: To prevent exploitation of technical vulnerabilities.</t>
    </r>
  </si>
  <si>
    <t>A.12.6.1</t>
  </si>
  <si>
    <t>Management of technical vulnerabilities</t>
  </si>
  <si>
    <t>Information about technical vulnerabilities of information systems being used shall be obtained in a timely fashion, the organization's exposure to such vulnerabilities evaluated and appropriate measures taken to address the associated risks.</t>
  </si>
  <si>
    <t>A.12.6.2</t>
  </si>
  <si>
    <t>Restrictions on software installation</t>
  </si>
  <si>
    <t>Rules governing the installation of software by users shall be established and implemented.</t>
  </si>
  <si>
    <t>A.12.7</t>
  </si>
  <si>
    <t>Information systems audit considerations</t>
  </si>
  <si>
    <r>
      <rPr>
        <b/>
        <sz val="10"/>
        <color rgb="FF000000"/>
        <rFont val="Arial"/>
        <family val="2"/>
      </rPr>
      <t>Objective</t>
    </r>
    <r>
      <rPr>
        <sz val="10"/>
        <color rgb="FF000000"/>
        <rFont val="Arial"/>
        <family val="2"/>
      </rPr>
      <t>: To minimize the impact of audit activities on operational systems.</t>
    </r>
  </si>
  <si>
    <t>A.12.7.1</t>
  </si>
  <si>
    <t>Information systems audit controls</t>
  </si>
  <si>
    <t>Audit requirements and activities involving verification of operational systems shall be carefully planned and agreed to minimize disruptions to business processes.</t>
  </si>
  <si>
    <t>A.13</t>
  </si>
  <si>
    <t>Communications security</t>
  </si>
  <si>
    <t>A.13.1</t>
  </si>
  <si>
    <t>Network security management</t>
  </si>
  <si>
    <r>
      <rPr>
        <b/>
        <sz val="10"/>
        <color rgb="FF000000"/>
        <rFont val="Arial"/>
        <family val="2"/>
      </rPr>
      <t>Objective</t>
    </r>
    <r>
      <rPr>
        <sz val="10"/>
        <color rgb="FF000000"/>
        <rFont val="Arial"/>
        <family val="2"/>
      </rPr>
      <t>: To ensure the protection of information in networks and its supporting information processing facilities.</t>
    </r>
  </si>
  <si>
    <t>A.13.1.1</t>
  </si>
  <si>
    <t>Network controls</t>
  </si>
  <si>
    <t>Networks shall be managed and controlled to protect information in systems and applications.</t>
  </si>
  <si>
    <t>A.13.1.2</t>
  </si>
  <si>
    <t>Security of network services</t>
  </si>
  <si>
    <t>Security mechanisms, service levels and management requirements of all network services shall be identified and included in network services agreements, whether these services are provided in-house or outsourced.</t>
  </si>
  <si>
    <t>A.13.1.3</t>
  </si>
  <si>
    <t>Segregation in networks</t>
  </si>
  <si>
    <t>Groups of information services, users and information systems shall be segregated on networks.</t>
  </si>
  <si>
    <t>A.13.2</t>
  </si>
  <si>
    <t>Information transfer</t>
  </si>
  <si>
    <r>
      <rPr>
        <b/>
        <sz val="10"/>
        <color rgb="FF000000"/>
        <rFont val="Arial"/>
        <family val="2"/>
      </rPr>
      <t>Objective</t>
    </r>
    <r>
      <rPr>
        <sz val="10"/>
        <color rgb="FF000000"/>
        <rFont val="Arial"/>
        <family val="2"/>
      </rPr>
      <t>: To maintain the security of information transferred within an organization and with any external entity.</t>
    </r>
  </si>
  <si>
    <t>A.13.2.1</t>
  </si>
  <si>
    <t>Information transfer policies and procedures</t>
  </si>
  <si>
    <t>Transfer of information through the use of communications devices and systems need to be protected.</t>
  </si>
  <si>
    <t>A.13.2.2</t>
  </si>
  <si>
    <t>Agreements on information transfer</t>
  </si>
  <si>
    <t>The secure transfer of critical business information (like data files) between the organization and external parties are discussed and agreed.</t>
  </si>
  <si>
    <t>A.13.2.3</t>
  </si>
  <si>
    <t>Electronic messaging</t>
  </si>
  <si>
    <t>Information transferred through electronic messaging is appropriately protected.</t>
  </si>
  <si>
    <t>A.13.2.4</t>
  </si>
  <si>
    <t>Confidentiality or nondisclosure agreements</t>
  </si>
  <si>
    <t>Requirements for confidentiality or non-disclosure agreements reflecting the organization's needs for the protection of information shall be identified, regularly reviewed and documented.</t>
  </si>
  <si>
    <t>A.14</t>
  </si>
  <si>
    <t>System acquisition, development and maintenance</t>
  </si>
  <si>
    <t>A.14.1</t>
  </si>
  <si>
    <t>Security requirements of information systems</t>
  </si>
  <si>
    <r>
      <rPr>
        <b/>
        <sz val="10"/>
        <color rgb="FF000000"/>
        <rFont val="Arial"/>
        <family val="2"/>
      </rPr>
      <t>Objective</t>
    </r>
    <r>
      <rPr>
        <sz val="10"/>
        <color rgb="FF000000"/>
        <rFont val="Arial"/>
        <family val="2"/>
      </rPr>
      <t>: To ensure that information security is an integral part of information systems across the entire lifecycle. This also includes the requirements for information system which provides services over public networks.</t>
    </r>
  </si>
  <si>
    <t>A.14.1.1</t>
  </si>
  <si>
    <t>Information security requirements analysis and specification</t>
  </si>
  <si>
    <t>The information security related requirements shall be included in the requirements for new information systems or enhancements to existing information systems.</t>
  </si>
  <si>
    <t>A.14.1.2</t>
  </si>
  <si>
    <t>Securing application services on public networks</t>
  </si>
  <si>
    <t>Information involve in application services passing over public networks shall be protected from fraudulent activity, contract dispute and unauthorized disclosure and modification.</t>
  </si>
  <si>
    <t>A.14.1.3</t>
  </si>
  <si>
    <t>Protecting application services transactions</t>
  </si>
  <si>
    <t>Information involved in application service transactions shall be protected to prevent incomplete transmission, mis-routing, unauthorized message alteration, unauthorized disclosure, unauthorized message duplication or replay.</t>
  </si>
  <si>
    <t>A.14.2</t>
  </si>
  <si>
    <t>Security in development and support processes</t>
  </si>
  <si>
    <r>
      <rPr>
        <b/>
        <sz val="10"/>
        <color rgb="FF000000"/>
        <rFont val="Arial"/>
        <family val="2"/>
      </rPr>
      <t>Objective</t>
    </r>
    <r>
      <rPr>
        <sz val="10"/>
        <color rgb="FF000000"/>
        <rFont val="Arial"/>
        <family val="2"/>
      </rPr>
      <t>: To ensure that information security is designed and implemented within the development lifecycle of information systems.</t>
    </r>
  </si>
  <si>
    <t>A.14.2.1</t>
  </si>
  <si>
    <t>Secure development policy</t>
  </si>
  <si>
    <t>Rules for the development of software and systems shall be established and applied to developments within the organization.</t>
  </si>
  <si>
    <t>A.14.2.2</t>
  </si>
  <si>
    <t>System change control procedures</t>
  </si>
  <si>
    <t>Changes to systems within the development of the lifecycle shall be controlled by the use of formal change control procedures.</t>
  </si>
  <si>
    <t>A.14.2.3</t>
  </si>
  <si>
    <t>Technical review of applications after operating platform changes</t>
  </si>
  <si>
    <t>When operating platforms are changed, business critical applications shall be reviewed and tested to ensure there is no adverse impact on organizational operations or security.</t>
  </si>
  <si>
    <t>A.14.2.4</t>
  </si>
  <si>
    <t>Restrictions on changes to software packages</t>
  </si>
  <si>
    <t>Modifications to software packages shall be discouraged, limited to necessary changes and all changes shall be strictly controlled.</t>
  </si>
  <si>
    <t>A.14.2.5</t>
  </si>
  <si>
    <t>Secure system engineering principles</t>
  </si>
  <si>
    <t>Principles for engineering secure systems shall be established, documented, maintained and applied to any information system implementation efforts.</t>
  </si>
  <si>
    <t>A.14.2.6</t>
  </si>
  <si>
    <t>Secure development environment</t>
  </si>
  <si>
    <t>Organizations shall establish and appropriately protect secure development environments for system development and integration efforts that cover the entire system development lifecycle.</t>
  </si>
  <si>
    <t>A.14.2.7</t>
  </si>
  <si>
    <t>Outsourced development</t>
  </si>
  <si>
    <t>The organization shall supervise and monitor the activity of outsourced system development.</t>
  </si>
  <si>
    <t>A.14.2.8</t>
  </si>
  <si>
    <t>System security testing</t>
  </si>
  <si>
    <t>Testing of security functionality shall be carried out during development.</t>
  </si>
  <si>
    <t>A.14.2.9</t>
  </si>
  <si>
    <t>System acceptance testing</t>
  </si>
  <si>
    <t>Acceptance of testing programs and related criteria shall be established for new information systems, upgrades and new versions.</t>
  </si>
  <si>
    <t>A.14.3</t>
  </si>
  <si>
    <t>Test data</t>
  </si>
  <si>
    <r>
      <rPr>
        <b/>
        <sz val="10"/>
        <color rgb="FF000000"/>
        <rFont val="Arial"/>
        <family val="2"/>
      </rPr>
      <t>Objective</t>
    </r>
    <r>
      <rPr>
        <sz val="10"/>
        <color rgb="FF000000"/>
        <rFont val="Arial"/>
        <family val="2"/>
      </rPr>
      <t>: To ensure the protection of data used for testing.</t>
    </r>
  </si>
  <si>
    <t>A.14.3.1</t>
  </si>
  <si>
    <t>Protection of test data</t>
  </si>
  <si>
    <t>Test data shall be selected carefully, protected and controlled.</t>
  </si>
  <si>
    <t>A.15</t>
  </si>
  <si>
    <t>Supplier relationships</t>
  </si>
  <si>
    <t>A.15.1</t>
  </si>
  <si>
    <t>Information security in supplier relationships</t>
  </si>
  <si>
    <r>
      <rPr>
        <b/>
        <sz val="10"/>
        <color rgb="FF000000"/>
        <rFont val="Arial"/>
        <family val="2"/>
      </rPr>
      <t>Objective</t>
    </r>
    <r>
      <rPr>
        <sz val="10"/>
        <color rgb="FF000000"/>
        <rFont val="Arial"/>
        <family val="2"/>
      </rPr>
      <t>: To ensure the protection of the organization's assets that is accessible by suppliers.</t>
    </r>
  </si>
  <si>
    <t>A.15.1.1</t>
  </si>
  <si>
    <t>Information security policy for supplier relationships</t>
  </si>
  <si>
    <t>Information security requirements for mitigating the risks associated with suppliers' access to the organization's assets shall be agreed with the supplier and documented.</t>
  </si>
  <si>
    <t>A.15.1.2</t>
  </si>
  <si>
    <t>Addressing security within supplier agreements</t>
  </si>
  <si>
    <t>All relevant information security requirements shall be established and agreed with each supplier that may access, process, store, communicated or provide IT infrastructure components for the organization's information.</t>
  </si>
  <si>
    <t>A.15.1.3</t>
  </si>
  <si>
    <t>Information and communication technology supply chain</t>
  </si>
  <si>
    <t>Agreements with suppliers shall include requirement to address the information security risks associated with information and communications technology services and product supply chain.</t>
  </si>
  <si>
    <t>A.15.2</t>
  </si>
  <si>
    <t>Supplier service delivery management</t>
  </si>
  <si>
    <r>
      <rPr>
        <b/>
        <sz val="10"/>
        <color rgb="FF000000"/>
        <rFont val="Arial"/>
        <family val="2"/>
      </rPr>
      <t>Objective</t>
    </r>
    <r>
      <rPr>
        <sz val="10"/>
        <color rgb="FF000000"/>
        <rFont val="Arial"/>
        <family val="2"/>
      </rPr>
      <t>: To maintain an agreed level of information security and service delivery in line with supplier agreements.</t>
    </r>
  </si>
  <si>
    <t>A.15.2.1</t>
  </si>
  <si>
    <t>Monitoring and review of supplier services</t>
  </si>
  <si>
    <t>Organizations shall regularly monitor, review and audit supplier service delivery.</t>
  </si>
  <si>
    <t>A.15.2.2</t>
  </si>
  <si>
    <t>Managing changes to supplier services</t>
  </si>
  <si>
    <t>Changes to the provision of services by suppliers, including maintaining and improving existing information security policies, procedures and control shall be managed, taking into account the criticality of business information, systems and processes involved and re-assessment of risks.</t>
  </si>
  <si>
    <t>A.16</t>
  </si>
  <si>
    <t>Information security incident management</t>
  </si>
  <si>
    <t>A.16.1</t>
  </si>
  <si>
    <t>Management of information security incidents and improvements</t>
  </si>
  <si>
    <r>
      <rPr>
        <b/>
        <sz val="10"/>
        <color rgb="FF000000"/>
        <rFont val="Arial"/>
        <family val="2"/>
      </rPr>
      <t>Objective</t>
    </r>
    <r>
      <rPr>
        <sz val="10"/>
        <color rgb="FF000000"/>
        <rFont val="Arial"/>
        <family val="2"/>
      </rPr>
      <t>: To ensure a consistent and effective approach to the management of information security incidents, including communication on security events and weaknesses.</t>
    </r>
  </si>
  <si>
    <t>A.16.1.1</t>
  </si>
  <si>
    <t>Responsibilities and procedures</t>
  </si>
  <si>
    <t>Management responsibilities and procedures shall be established to ensure a quick, effective and orderly response to information security incidents.</t>
  </si>
  <si>
    <t>A.16.1.2</t>
  </si>
  <si>
    <t>Reporting information security events</t>
  </si>
  <si>
    <t>Information security events shall be reported through appropriate management channels as quickly as possible.</t>
  </si>
  <si>
    <t>A.16.1.3</t>
  </si>
  <si>
    <t>Reporting information security weaknesses</t>
  </si>
  <si>
    <t>Employees and contractors using the organization's information systems and services shall be required to note and report an observed or suspected information security weaknesses in systems or services</t>
  </si>
  <si>
    <t>A.16.1.4</t>
  </si>
  <si>
    <t>Assessment of and decision on information security events security incidents</t>
  </si>
  <si>
    <t>Information security events shall be assessed and it shall be decided if they are to be classified as information security incidents.</t>
  </si>
  <si>
    <t>A.16.1.5</t>
  </si>
  <si>
    <t>Response to information security incidents</t>
  </si>
  <si>
    <t>Information security incidents shall be responded to in accordance with the documented procedures.</t>
  </si>
  <si>
    <t>A.16.1.6</t>
  </si>
  <si>
    <t>Knowledge gained form analysing and resolving information security incident shall be used to reduce the likelihood or impact of future incidents.</t>
  </si>
  <si>
    <t>A.16.1.7</t>
  </si>
  <si>
    <t>The organization shall define and apply procedures for the identification, collection, acquisition and preservation of information, which can serve as evidence.</t>
  </si>
  <si>
    <t>A.17</t>
  </si>
  <si>
    <t>Information security aspects of business continuity management</t>
  </si>
  <si>
    <t>A.17.1</t>
  </si>
  <si>
    <t>Information security continuity</t>
  </si>
  <si>
    <r>
      <rPr>
        <b/>
        <sz val="10"/>
        <color rgb="FF000000"/>
        <rFont val="Arial"/>
        <family val="2"/>
      </rPr>
      <t>Objective</t>
    </r>
    <r>
      <rPr>
        <sz val="10"/>
        <color rgb="FF000000"/>
        <rFont val="Arial"/>
        <family val="2"/>
      </rPr>
      <t>: Information security continuity shall be embedded in the organization's business continuity management system.</t>
    </r>
  </si>
  <si>
    <t>A.17.1.1</t>
  </si>
  <si>
    <t>Planning information security continuity</t>
  </si>
  <si>
    <t>The organization shall determine its requirements for information security and the continuity of information security management in adverse situations, e.g. during a crisis or disaster.</t>
  </si>
  <si>
    <t>A.17.1.2</t>
  </si>
  <si>
    <t>Implementing information security continuity</t>
  </si>
  <si>
    <t>The organization shall establish, document, implement and maintain processes, procedures and controls to ensure the required level of continuity for information security during an adverse situation.</t>
  </si>
  <si>
    <t>A.17.1.3</t>
  </si>
  <si>
    <t>Verify, review and evaluate information security continuity</t>
  </si>
  <si>
    <t>The organization shall verify the established and implemented information security continuity controls at regular intervals in order to ensure that they are valid and effective during adverse situations.</t>
  </si>
  <si>
    <t>A.17.2</t>
  </si>
  <si>
    <t>Redundancies</t>
  </si>
  <si>
    <r>
      <rPr>
        <b/>
        <sz val="10"/>
        <color rgb="FF000000"/>
        <rFont val="Arial"/>
        <family val="2"/>
      </rPr>
      <t>Objective</t>
    </r>
    <r>
      <rPr>
        <sz val="10"/>
        <color rgb="FF000000"/>
        <rFont val="Arial"/>
        <family val="2"/>
      </rPr>
      <t>: To ensure availability of information processing facilities.</t>
    </r>
  </si>
  <si>
    <t>A.17.2.1</t>
  </si>
  <si>
    <t>Availability of information processing facilities</t>
  </si>
  <si>
    <t>Information processing facilities shall be implemented with redundancy sufficient to meet availability requirements.</t>
  </si>
  <si>
    <t>A.18</t>
  </si>
  <si>
    <t>Compliance</t>
  </si>
  <si>
    <t>A.18.1</t>
  </si>
  <si>
    <t>Compliance with legal and contractual requirements</t>
  </si>
  <si>
    <r>
      <rPr>
        <b/>
        <sz val="10"/>
        <color rgb="FF000000"/>
        <rFont val="Arial"/>
        <family val="2"/>
      </rPr>
      <t>Objective</t>
    </r>
    <r>
      <rPr>
        <sz val="10"/>
        <color rgb="FF000000"/>
        <rFont val="Arial"/>
        <family val="2"/>
      </rPr>
      <t>: To avoid breaches of legal, statutory, regulatory or contractual obligations related to information security and of any security requirements.</t>
    </r>
  </si>
  <si>
    <t>A.18.1.1</t>
  </si>
  <si>
    <t>Identification of applicable legislation and contractual requirements</t>
  </si>
  <si>
    <t>All relevant legislative statutory, regulatory, contractual requirements and the organization's approach to meet these requirements shall be explicitly identified, documented and kept up to date for each information system and the organization.</t>
  </si>
  <si>
    <t>A.18.1.2</t>
  </si>
  <si>
    <t>Intellectual property rights</t>
  </si>
  <si>
    <t>Appropriate procedures shall be implemented to ensure compliance with legislative, regulatory and contractual requirements related to intellectual property rights and use of proprietary software products.</t>
  </si>
  <si>
    <t>A.18.1.3</t>
  </si>
  <si>
    <t>Protection of records</t>
  </si>
  <si>
    <t>Records shall be protected from loss, destruction , falsification, unauthorized access and unauthorized release, in accordance with legislator, regulatory, contractual and business requirements.</t>
  </si>
  <si>
    <t>A.18.1.4</t>
  </si>
  <si>
    <t>Privacy and protection of personally identifiable information</t>
  </si>
  <si>
    <t>Privacy and protection of personally identifiable information shall be ensured as required in relevant legislation and regulation where applicable.</t>
  </si>
  <si>
    <t>A.18.1.5</t>
  </si>
  <si>
    <t>Regulation of cryptographic controls</t>
  </si>
  <si>
    <t>Cryptographic controls shall be used compliance with all relevant agreements, legislation and regulations.</t>
  </si>
  <si>
    <t>A.18.2</t>
  </si>
  <si>
    <t>Information security reviews</t>
  </si>
  <si>
    <r>
      <rPr>
        <b/>
        <sz val="10"/>
        <color rgb="FF000000"/>
        <rFont val="Arial"/>
        <family val="2"/>
      </rPr>
      <t>Objective</t>
    </r>
    <r>
      <rPr>
        <sz val="10"/>
        <color rgb="FF000000"/>
        <rFont val="Arial"/>
        <family val="2"/>
      </rPr>
      <t>: To ensure that information security is implemented and operated in accordance with the organizational policies and procedures.</t>
    </r>
  </si>
  <si>
    <t>A.18.2.1</t>
  </si>
  <si>
    <t>Independent review of information security</t>
  </si>
  <si>
    <t>The organization's approach to managing information security and its implementation (i.e. control objectives, controls, policies, processes and procedures for information security) shall be reviewed independently at planned intervals or when significant changes occur.</t>
  </si>
  <si>
    <t>A.18.2.2</t>
  </si>
  <si>
    <t>Compliance with security policies and standards</t>
  </si>
  <si>
    <t>Managers shall regularly review the  compliance of information processing and procedures within their area of responsibility with the appropriate security policies, standards and any other security requirements.</t>
  </si>
  <si>
    <t>A.18.2.3</t>
  </si>
  <si>
    <t>Technical compliance review</t>
  </si>
  <si>
    <t>Information systems shall be regularly reviewed for compliance with the organization's information security policies and standards.</t>
  </si>
  <si>
    <t>Clause / Controls according to ISO/IEC 27001</t>
  </si>
  <si>
    <t>Context of the organization</t>
  </si>
  <si>
    <t>Understanding the organization and its context</t>
  </si>
  <si>
    <t xml:space="preserve">Understanding the needs and expectations of interested parties </t>
  </si>
  <si>
    <t>Determining the scope of the information security management system</t>
  </si>
  <si>
    <t>Information security management system</t>
  </si>
  <si>
    <t>Leadership</t>
  </si>
  <si>
    <t>Leadership and Commitment</t>
  </si>
  <si>
    <t>Policy</t>
  </si>
  <si>
    <t>Organization, roles, responsibilities and authorities</t>
  </si>
  <si>
    <t>Planning</t>
  </si>
  <si>
    <t>Action to address Risk  and Opportunities</t>
  </si>
  <si>
    <t>6.1.1</t>
  </si>
  <si>
    <t>General</t>
  </si>
  <si>
    <t>6.1.2</t>
  </si>
  <si>
    <t>Information security risk assessment</t>
  </si>
  <si>
    <t>6.1.3</t>
  </si>
  <si>
    <t>Information security risk treatment</t>
  </si>
  <si>
    <t>Information security objectives and planning to achieve them</t>
  </si>
  <si>
    <t>Support</t>
  </si>
  <si>
    <t>Resources</t>
  </si>
  <si>
    <t>Competence</t>
  </si>
  <si>
    <t>Awareness</t>
  </si>
  <si>
    <t>Communication</t>
  </si>
  <si>
    <t>Documented information</t>
  </si>
  <si>
    <t>7.5.1</t>
  </si>
  <si>
    <t>7.5.2</t>
  </si>
  <si>
    <t>Creating &amp; updating</t>
  </si>
  <si>
    <t>7.5.3</t>
  </si>
  <si>
    <t>Control of documented information</t>
  </si>
  <si>
    <t>Operation</t>
  </si>
  <si>
    <t>Operational planning &amp; control</t>
  </si>
  <si>
    <t>Performance evaluation</t>
  </si>
  <si>
    <t>Monitoring, measurement, analysis and evaluation</t>
  </si>
  <si>
    <t>Internal audit</t>
  </si>
  <si>
    <t>Management review</t>
  </si>
  <si>
    <t>Improvement</t>
  </si>
  <si>
    <t>Nonconfirminty &amp; corrective action</t>
  </si>
  <si>
    <t>Continual improvement</t>
  </si>
  <si>
    <t xml:space="preserve">Flow chart needs to be expanded to formal manual to meet A.16 </t>
  </si>
  <si>
    <t>Internal audit plan</t>
  </si>
  <si>
    <t>Corrective actions record (CAR)</t>
  </si>
  <si>
    <t>AL to refer to CVE CAR</t>
  </si>
  <si>
    <t>ISMS-01 section 7</t>
  </si>
  <si>
    <t>With examples</t>
  </si>
  <si>
    <t>Consider using template in GForm</t>
  </si>
  <si>
    <t>Provided by AL</t>
  </si>
  <si>
    <t>Vulnerability assessment and penetration test report</t>
  </si>
  <si>
    <t>Client responsibility</t>
  </si>
  <si>
    <t>ISMS-24</t>
  </si>
  <si>
    <t>Security Baseine Standard and Hardening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</si>
</sst>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48">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sz val="11"/>
      <color theme="1"/>
      <name val="Arial"/>
      <family val="2"/>
    </font>
    <font>
      <b/>
      <sz val="11"/>
      <color theme="1"/>
      <name val="Calibri"/>
      <family val="2"/>
      <scheme val="minor"/>
    </font>
    <font>
      <sz val="11"/>
      <color theme="1"/>
      <name val="Calibri"/>
      <family val="2"/>
    </font>
    <font>
      <sz val="12"/>
      <color theme="1"/>
      <name val="Calibri"/>
      <family val="2"/>
      <scheme val="minor"/>
    </font>
    <font>
      <sz val="11"/>
      <color indexed="8"/>
      <name val="Calibri"/>
      <family val="2"/>
    </font>
    <font>
      <sz val="11"/>
      <color indexed="8"/>
      <name val="新細明體"/>
      <family val="1"/>
      <charset val="136"/>
    </font>
    <font>
      <sz val="11"/>
      <color indexed="9"/>
      <name val="新細明體"/>
      <family val="1"/>
      <charset val="136"/>
    </font>
    <font>
      <b/>
      <sz val="11"/>
      <color indexed="52"/>
      <name val="Calibri"/>
      <family val="2"/>
    </font>
    <font>
      <sz val="10"/>
      <name val="Arial"/>
      <family val="2"/>
    </font>
    <font>
      <b/>
      <sz val="18"/>
      <color theme="3"/>
      <name val="Calibri"/>
      <family val="2"/>
      <scheme val="minor"/>
    </font>
    <font>
      <b/>
      <sz val="18"/>
      <color theme="0"/>
      <name val="Calibri"/>
      <family val="2"/>
      <scheme val="minor"/>
    </font>
    <font>
      <sz val="11"/>
      <color indexed="62"/>
      <name val="Calibri"/>
      <family val="2"/>
    </font>
    <font>
      <sz val="11"/>
      <color indexed="8"/>
      <name val="宋体"/>
      <charset val="134"/>
    </font>
    <font>
      <sz val="12"/>
      <name val="新細明體"/>
      <charset val="136"/>
    </font>
    <font>
      <b/>
      <sz val="11"/>
      <color indexed="63"/>
      <name val="Calibri"/>
      <family val="2"/>
    </font>
    <font>
      <b/>
      <sz val="11"/>
      <color indexed="8"/>
      <name val="Calibri"/>
      <family val="2"/>
    </font>
    <font>
      <sz val="12"/>
      <name val="新細明體"/>
      <family val="1"/>
      <charset val="136"/>
    </font>
    <font>
      <sz val="11"/>
      <color indexed="60"/>
      <name val="新細明體"/>
      <family val="1"/>
      <charset val="136"/>
    </font>
    <font>
      <b/>
      <sz val="11"/>
      <color indexed="8"/>
      <name val="新細明體"/>
      <family val="1"/>
      <charset val="136"/>
    </font>
    <font>
      <sz val="11"/>
      <color indexed="20"/>
      <name val="新細明體"/>
      <family val="1"/>
      <charset val="136"/>
    </font>
    <font>
      <sz val="11"/>
      <color indexed="17"/>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sz val="10"/>
      <color theme="1"/>
      <name val="Arial"/>
      <family val="2"/>
    </font>
    <font>
      <b/>
      <sz val="10"/>
      <color theme="1"/>
      <name val="Arial"/>
      <family val="2"/>
    </font>
    <font>
      <vertAlign val="superscript"/>
      <sz val="10"/>
      <color theme="1"/>
      <name val="Arial"/>
      <family val="2"/>
    </font>
    <font>
      <sz val="11"/>
      <color indexed="8"/>
      <name val="Arial Unicode MS"/>
      <family val="2"/>
    </font>
    <font>
      <sz val="11"/>
      <color theme="1"/>
      <name val="Arial Unicode MS"/>
      <family val="2"/>
    </font>
    <font>
      <b/>
      <sz val="10"/>
      <color theme="0"/>
      <name val="Arial"/>
      <family val="2"/>
    </font>
    <font>
      <b/>
      <sz val="10"/>
      <color theme="0" tint="-4.9989318521683403E-2"/>
      <name val="Arial"/>
      <family val="2"/>
    </font>
    <font>
      <sz val="10"/>
      <color theme="0" tint="-4.9989318521683403E-2"/>
      <name val="Arial"/>
      <family val="2"/>
    </font>
    <font>
      <b/>
      <sz val="10"/>
      <color rgb="FF000000"/>
      <name val="Arial"/>
      <family val="2"/>
    </font>
    <font>
      <sz val="10"/>
      <color rgb="FF000000"/>
      <name val="Arial"/>
      <family val="2"/>
    </font>
    <font>
      <b/>
      <sz val="11"/>
      <color theme="0" tint="-4.9989318521683403E-2"/>
      <name val="Arial"/>
      <family val="2"/>
    </font>
  </fonts>
  <fills count="30">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55"/>
      </patternFill>
    </fill>
    <fill>
      <patternFill patternType="solid">
        <fgColor indexed="49"/>
      </patternFill>
    </fill>
    <fill>
      <patternFill patternType="solid">
        <fgColor theme="9" tint="0.79998168889431442"/>
        <bgColor indexed="64"/>
      </patternFill>
    </fill>
    <fill>
      <patternFill patternType="solid">
        <fgColor theme="9" tint="-0.249977111117893"/>
        <bgColor indexed="64"/>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3" tint="0.79998168889431442"/>
        <bgColor indexed="64"/>
      </patternFill>
    </fill>
    <fill>
      <patternFill patternType="solid">
        <fgColor rgb="FFFFC000"/>
        <bgColor indexed="64"/>
      </patternFill>
    </fill>
    <fill>
      <patternFill patternType="solid">
        <fgColor theme="8" tint="-0.249977111117893"/>
        <bgColor indexed="64"/>
      </patternFill>
    </fill>
    <fill>
      <patternFill patternType="solid">
        <fgColor rgb="FF3DA0C3"/>
        <bgColor indexed="64"/>
      </patternFill>
    </fill>
    <fill>
      <patternFill patternType="solid">
        <fgColor rgb="FFA9E0F9"/>
        <bgColor indexed="64"/>
      </patternFill>
    </fill>
  </fills>
  <borders count="29">
    <border>
      <left/>
      <right/>
      <top/>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1454817346722"/>
      </left>
      <right style="thin">
        <color theme="8" tint="0.39991454817346722"/>
      </right>
      <top style="thin">
        <color theme="8" tint="0.39991454817346722"/>
      </top>
      <bottom style="thin">
        <color theme="8" tint="0.39991454817346722"/>
      </bottom>
      <diagonal/>
    </border>
    <border>
      <left style="thin">
        <color theme="8" tint="0.39994506668294322"/>
      </left>
      <right/>
      <top style="thin">
        <color theme="8" tint="0.39994506668294322"/>
      </top>
      <bottom style="thin">
        <color theme="8" tint="0.39994506668294322"/>
      </bottom>
      <diagonal/>
    </border>
    <border>
      <left style="thin">
        <color indexed="64"/>
      </left>
      <right style="thin">
        <color indexed="64"/>
      </right>
      <top style="thin">
        <color indexed="64"/>
      </top>
      <bottom style="thin">
        <color indexed="64"/>
      </bottom>
      <diagonal/>
    </border>
    <border>
      <left style="thin">
        <color theme="8" tint="0.39991454817346722"/>
      </left>
      <right/>
      <top style="thin">
        <color theme="8" tint="0.39991454817346722"/>
      </top>
      <bottom style="thin">
        <color theme="8" tint="0.39991454817346722"/>
      </bottom>
      <diagonal/>
    </border>
    <border>
      <left style="thin">
        <color theme="8" tint="0.39994506668294322"/>
      </left>
      <right style="thin">
        <color theme="8" tint="0.39994506668294322"/>
      </right>
      <top style="thin">
        <color theme="8" tint="0.39994506668294322"/>
      </top>
      <bottom/>
      <diagonal/>
    </border>
    <border>
      <left style="thin">
        <color theme="8" tint="0.39994506668294322"/>
      </left>
      <right/>
      <top style="thin">
        <color theme="8" tint="0.39994506668294322"/>
      </top>
      <bottom/>
      <diagonal/>
    </border>
    <border>
      <left style="thin">
        <color theme="8" tint="0.39991454817346722"/>
      </left>
      <right style="thin">
        <color theme="8" tint="0.39991454817346722"/>
      </right>
      <top style="thin">
        <color theme="8" tint="0.39991454817346722"/>
      </top>
      <bottom/>
      <diagonal/>
    </border>
    <border>
      <left style="thin">
        <color theme="8" tint="0.39991454817346722"/>
      </left>
      <right/>
      <top style="thin">
        <color theme="8" tint="0.39991454817346722"/>
      </top>
      <bottom/>
      <diagonal/>
    </border>
    <border>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theme="9" tint="-0.24994659260841701"/>
      </left>
      <right/>
      <top style="double">
        <color theme="9" tint="-0.24994659260841701"/>
      </top>
      <bottom style="double">
        <color theme="9" tint="-0.24994659260841701"/>
      </bottom>
      <diagonal/>
    </border>
    <border>
      <left style="medium">
        <color theme="6" tint="0.79998168889431442"/>
      </left>
      <right/>
      <top style="medium">
        <color theme="6" tint="0.79998168889431442"/>
      </top>
      <bottom style="medium">
        <color theme="6" tint="0.7999816888943144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49"/>
      </top>
      <bottom style="double">
        <color indexed="49"/>
      </bottom>
      <diagonal/>
    </border>
    <border>
      <left/>
      <right/>
      <top/>
      <bottom style="thick">
        <color indexed="49"/>
      </bottom>
      <diagonal/>
    </border>
    <border>
      <left/>
      <right/>
      <top/>
      <bottom style="thick">
        <color indexed="55"/>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theme="8" tint="0.39994506668294322"/>
      </left>
      <right style="thin">
        <color theme="8" tint="0.39994506668294322"/>
      </right>
      <top style="thin">
        <color theme="8" tint="0.39994506668294322"/>
      </top>
      <bottom style="thin">
        <color theme="8" tint="0.39991454817346722"/>
      </bottom>
      <diagonal/>
    </border>
  </borders>
  <cellStyleXfs count="155">
    <xf numFmtId="0" fontId="0" fillId="0" borderId="0"/>
    <xf numFmtId="9" fontId="5" fillId="0" borderId="0" applyFont="0" applyFill="0" applyBorder="0" applyAlignment="0" applyProtection="0"/>
    <xf numFmtId="0" fontId="3" fillId="0" borderId="0"/>
    <xf numFmtId="0" fontId="9" fillId="0" borderId="0"/>
    <xf numFmtId="0" fontId="1"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10" fillId="11" borderId="0" applyNumberFormat="0" applyBorder="0" applyAlignment="0" applyProtection="0">
      <alignment vertical="center"/>
    </xf>
    <xf numFmtId="0" fontId="10" fillId="10" borderId="0" applyNumberFormat="0" applyBorder="0" applyAlignment="0" applyProtection="0">
      <alignment vertical="center"/>
    </xf>
    <xf numFmtId="0" fontId="10" fillId="12"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10" fillId="17" borderId="0" applyNumberFormat="0" applyBorder="0" applyAlignment="0" applyProtection="0">
      <alignment vertical="center"/>
    </xf>
    <xf numFmtId="0" fontId="10" fillId="14" borderId="0" applyNumberFormat="0" applyBorder="0" applyAlignment="0" applyProtection="0">
      <alignment vertical="center"/>
    </xf>
    <xf numFmtId="0" fontId="10" fillId="12" borderId="0" applyNumberFormat="0" applyBorder="0" applyAlignment="0" applyProtection="0">
      <alignment vertical="center"/>
    </xf>
    <xf numFmtId="0" fontId="10" fillId="17" borderId="0" applyNumberFormat="0" applyBorder="0" applyAlignment="0" applyProtection="0">
      <alignment vertical="center"/>
    </xf>
    <xf numFmtId="0" fontId="10" fillId="13" borderId="0" applyNumberFormat="0" applyBorder="0" applyAlignment="0" applyProtection="0">
      <alignment vertical="center"/>
    </xf>
    <xf numFmtId="0" fontId="10" fillId="10"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0" borderId="0" applyNumberFormat="0" applyBorder="0" applyAlignment="0" applyProtection="0">
      <alignment vertical="center"/>
    </xf>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0" fontId="12" fillId="11" borderId="15" applyNumberFormat="0" applyAlignment="0" applyProtection="0"/>
    <xf numFmtId="164" fontId="13" fillId="0" borderId="0" applyFont="0" applyFill="0" applyBorder="0" applyAlignment="0" applyProtection="0"/>
    <xf numFmtId="0" fontId="14" fillId="19" borderId="16">
      <alignment horizontal="left" vertical="center" indent="1"/>
    </xf>
    <xf numFmtId="0" fontId="15" fillId="20" borderId="17" applyBorder="0">
      <alignment horizontal="left" vertical="center" indent="1"/>
    </xf>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6" fillId="10" borderId="15" applyNumberFormat="0" applyAlignment="0" applyProtection="0"/>
    <xf numFmtId="0" fontId="17" fillId="0" borderId="0"/>
    <xf numFmtId="0" fontId="18" fillId="0" borderId="0">
      <alignment vertical="center"/>
    </xf>
    <xf numFmtId="0" fontId="13" fillId="0" borderId="0"/>
    <xf numFmtId="0" fontId="13" fillId="0" borderId="0"/>
    <xf numFmtId="0" fontId="1" fillId="0" borderId="0"/>
    <xf numFmtId="0" fontId="13" fillId="0" borderId="0"/>
    <xf numFmtId="0" fontId="8" fillId="0" borderId="0"/>
    <xf numFmtId="0" fontId="1" fillId="0" borderId="0"/>
    <xf numFmtId="0" fontId="1" fillId="0" borderId="0"/>
    <xf numFmtId="0" fontId="9" fillId="0" borderId="0"/>
    <xf numFmtId="0" fontId="1" fillId="0" borderId="0"/>
    <xf numFmtId="0" fontId="1" fillId="0" borderId="0"/>
    <xf numFmtId="0" fontId="1" fillId="0" borderId="0"/>
    <xf numFmtId="0" fontId="5" fillId="0" borderId="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9" fillId="12" borderId="18" applyNumberFormat="0" applyFon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0" fontId="19" fillId="11" borderId="19" applyNumberFormat="0" applyAlignment="0" applyProtection="0"/>
    <xf numFmtId="9" fontId="9" fillId="0" borderId="0" applyFont="0" applyFill="0" applyBorder="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0" fillId="0" borderId="20" applyNumberFormat="0" applyFill="0" applyAlignment="0" applyProtection="0"/>
    <xf numFmtId="0" fontId="21" fillId="0" borderId="0"/>
    <xf numFmtId="0" fontId="22" fillId="10" borderId="0" applyNumberFormat="0" applyBorder="0" applyAlignment="0" applyProtection="0">
      <alignment vertical="center"/>
    </xf>
    <xf numFmtId="0" fontId="13" fillId="12" borderId="21" applyNumberFormat="0" applyFont="0" applyAlignment="0" applyProtection="0">
      <alignment vertical="center"/>
    </xf>
    <xf numFmtId="0" fontId="23" fillId="0" borderId="22"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0" borderId="0" applyNumberFormat="0" applyFill="0" applyBorder="0" applyAlignment="0" applyProtection="0">
      <alignment vertical="center"/>
    </xf>
    <xf numFmtId="0" fontId="27" fillId="0" borderId="23" applyNumberFormat="0" applyFill="0" applyAlignment="0" applyProtection="0">
      <alignment vertical="center"/>
    </xf>
    <xf numFmtId="0" fontId="28" fillId="0" borderId="24" applyNumberFormat="0" applyFill="0" applyAlignment="0" applyProtection="0">
      <alignment vertical="center"/>
    </xf>
    <xf numFmtId="0" fontId="29" fillId="0" borderId="25" applyNumberFormat="0" applyFill="0" applyAlignment="0" applyProtection="0">
      <alignment vertical="center"/>
    </xf>
    <xf numFmtId="0" fontId="29" fillId="0" borderId="0" applyNumberFormat="0" applyFill="0" applyBorder="0" applyAlignment="0" applyProtection="0">
      <alignment vertical="center"/>
    </xf>
    <xf numFmtId="0" fontId="30" fillId="17" borderId="26" applyNumberFormat="0" applyAlignment="0" applyProtection="0">
      <alignment vertical="center"/>
    </xf>
    <xf numFmtId="0" fontId="31" fillId="11" borderId="15" applyNumberForma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0" applyNumberFormat="0" applyBorder="0" applyAlignment="0" applyProtection="0">
      <alignment vertical="center"/>
    </xf>
    <xf numFmtId="0" fontId="34" fillId="10" borderId="15" applyNumberFormat="0" applyAlignment="0" applyProtection="0">
      <alignment vertical="center"/>
    </xf>
    <xf numFmtId="0" fontId="35" fillId="11" borderId="19" applyNumberFormat="0" applyAlignment="0" applyProtection="0">
      <alignment vertical="center"/>
    </xf>
    <xf numFmtId="0" fontId="36" fillId="0" borderId="27" applyNumberFormat="0" applyFill="0" applyAlignment="0" applyProtection="0">
      <alignment vertical="center"/>
    </xf>
    <xf numFmtId="0" fontId="5" fillId="0" borderId="0"/>
  </cellStyleXfs>
  <cellXfs count="116">
    <xf numFmtId="0" fontId="0" fillId="0" borderId="0" xfId="0"/>
    <xf numFmtId="0" fontId="0" fillId="0" borderId="1" xfId="0" applyBorder="1" applyAlignment="1">
      <alignment horizontal="center" vertical="center" wrapText="1"/>
    </xf>
    <xf numFmtId="0" fontId="4"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wrapText="1"/>
    </xf>
    <xf numFmtId="0" fontId="7" fillId="0" borderId="1" xfId="0" applyFont="1" applyBorder="1" applyAlignment="1">
      <alignmen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9" fontId="2" fillId="0" borderId="2" xfId="1" applyFont="1" applyBorder="1" applyAlignment="1">
      <alignment horizontal="center"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6" fillId="0" borderId="0" xfId="0" applyFont="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9" fontId="2" fillId="0" borderId="8" xfId="1" applyFont="1" applyBorder="1" applyAlignment="1">
      <alignment horizontal="center" vertical="center" wrapText="1"/>
    </xf>
    <xf numFmtId="0" fontId="2" fillId="0" borderId="9" xfId="0" applyFont="1" applyBorder="1" applyAlignment="1">
      <alignment vertical="center" wrapText="1"/>
    </xf>
    <xf numFmtId="0" fontId="7" fillId="0" borderId="6" xfId="0" applyFont="1" applyBorder="1" applyAlignment="1">
      <alignment vertical="center" wrapText="1"/>
    </xf>
    <xf numFmtId="0" fontId="2" fillId="0" borderId="10" xfId="0" applyFont="1" applyBorder="1" applyAlignment="1">
      <alignment vertical="center" wrapText="1"/>
    </xf>
    <xf numFmtId="0" fontId="7" fillId="0" borderId="11" xfId="0" applyFont="1" applyBorder="1" applyAlignment="1">
      <alignment vertical="center" wrapText="1"/>
    </xf>
    <xf numFmtId="0" fontId="2" fillId="0" borderId="3" xfId="0" applyFont="1" applyBorder="1" applyAlignment="1">
      <alignment vertical="center" wrapText="1"/>
    </xf>
    <xf numFmtId="0" fontId="6" fillId="2" borderId="6"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4" borderId="10" xfId="0" applyFont="1" applyFill="1" applyBorder="1" applyAlignment="1">
      <alignment vertical="center" wrapText="1"/>
    </xf>
    <xf numFmtId="0" fontId="9" fillId="0" borderId="0" xfId="3"/>
    <xf numFmtId="0" fontId="37" fillId="0" borderId="0" xfId="0" applyFont="1" applyAlignment="1">
      <alignment vertical="center" wrapText="1"/>
    </xf>
    <xf numFmtId="0" fontId="38" fillId="2" borderId="1" xfId="0" applyFont="1" applyFill="1" applyBorder="1" applyAlignment="1">
      <alignment horizontal="center" vertical="center" wrapText="1"/>
    </xf>
    <xf numFmtId="0" fontId="38" fillId="2" borderId="3"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38" fillId="4" borderId="5" xfId="0" applyFont="1" applyFill="1" applyBorder="1" applyAlignment="1">
      <alignment horizontal="center" vertical="center" wrapText="1"/>
    </xf>
    <xf numFmtId="0" fontId="38" fillId="2" borderId="6" xfId="0" applyFont="1" applyFill="1" applyBorder="1" applyAlignment="1">
      <alignment horizontal="center" vertical="center" wrapText="1"/>
    </xf>
    <xf numFmtId="0" fontId="38" fillId="3" borderId="6" xfId="0" applyFont="1" applyFill="1" applyBorder="1" applyAlignment="1">
      <alignment horizontal="center" vertical="center" wrapText="1"/>
    </xf>
    <xf numFmtId="0" fontId="38" fillId="0" borderId="0" xfId="0" applyFont="1" applyAlignment="1">
      <alignment horizontal="center" vertical="center" wrapText="1"/>
    </xf>
    <xf numFmtId="0" fontId="37" fillId="0" borderId="1" xfId="0" applyFont="1" applyBorder="1" applyAlignment="1">
      <alignment horizontal="center" vertical="center" wrapText="1"/>
    </xf>
    <xf numFmtId="0" fontId="37" fillId="0" borderId="1" xfId="0" applyFont="1" applyBorder="1" applyAlignment="1">
      <alignment vertical="center" wrapText="1"/>
    </xf>
    <xf numFmtId="0" fontId="37" fillId="0" borderId="3" xfId="0" applyFont="1" applyBorder="1" applyAlignment="1">
      <alignment horizontal="center" vertical="center" wrapText="1"/>
    </xf>
    <xf numFmtId="0" fontId="37" fillId="0" borderId="2" xfId="0" applyFont="1" applyBorder="1" applyAlignment="1">
      <alignment horizontal="center" vertical="center" wrapText="1"/>
    </xf>
    <xf numFmtId="0" fontId="37" fillId="0" borderId="3" xfId="0" applyFont="1" applyBorder="1" applyAlignment="1">
      <alignment vertical="center" wrapText="1"/>
    </xf>
    <xf numFmtId="0" fontId="37" fillId="0" borderId="2" xfId="0" applyFont="1" applyBorder="1" applyAlignment="1">
      <alignment horizontal="center" vertical="center"/>
    </xf>
    <xf numFmtId="0" fontId="37" fillId="0" borderId="5" xfId="0" applyFont="1" applyBorder="1" applyAlignment="1">
      <alignment vertical="center" wrapText="1"/>
    </xf>
    <xf numFmtId="0" fontId="37" fillId="0" borderId="9" xfId="0" applyFont="1" applyBorder="1" applyAlignment="1">
      <alignment vertical="center" wrapText="1"/>
    </xf>
    <xf numFmtId="0" fontId="37" fillId="0" borderId="6" xfId="0" applyFont="1" applyBorder="1" applyAlignment="1">
      <alignment vertical="center" wrapText="1"/>
    </xf>
    <xf numFmtId="0" fontId="37" fillId="0" borderId="7" xfId="0" applyFont="1" applyBorder="1" applyAlignment="1">
      <alignment horizontal="center" vertical="center" wrapText="1"/>
    </xf>
    <xf numFmtId="0" fontId="37" fillId="0" borderId="2" xfId="0" applyFont="1" applyBorder="1" applyAlignment="1">
      <alignment vertical="center" wrapText="1"/>
    </xf>
    <xf numFmtId="0" fontId="37" fillId="0" borderId="11" xfId="0" applyFont="1" applyBorder="1" applyAlignment="1">
      <alignment vertical="center" wrapText="1"/>
    </xf>
    <xf numFmtId="0" fontId="37" fillId="0" borderId="10" xfId="0" applyFont="1" applyBorder="1" applyAlignment="1">
      <alignment vertical="center" wrapText="1"/>
    </xf>
    <xf numFmtId="0" fontId="37" fillId="0" borderId="0" xfId="0" applyFont="1" applyAlignment="1">
      <alignment horizontal="center" vertical="center" wrapText="1"/>
    </xf>
    <xf numFmtId="0" fontId="40" fillId="0" borderId="4" xfId="3" applyFont="1" applyBorder="1" applyAlignment="1">
      <alignment vertical="center"/>
    </xf>
    <xf numFmtId="0" fontId="41" fillId="0" borderId="4" xfId="4" applyFont="1" applyFill="1" applyBorder="1" applyAlignment="1">
      <alignment vertical="center" wrapText="1"/>
    </xf>
    <xf numFmtId="0" fontId="41" fillId="3" borderId="12" xfId="4" applyFont="1" applyFill="1" applyBorder="1" applyAlignment="1">
      <alignment horizontal="left" vertical="center" wrapText="1" indent="1"/>
    </xf>
    <xf numFmtId="0" fontId="40" fillId="0" borderId="4" xfId="3" applyFont="1" applyBorder="1" applyAlignment="1">
      <alignment horizontal="left" vertical="center"/>
    </xf>
    <xf numFmtId="0" fontId="40" fillId="3" borderId="4" xfId="3" applyFont="1" applyFill="1" applyBorder="1" applyAlignment="1">
      <alignment horizontal="left" vertical="center" indent="1"/>
    </xf>
    <xf numFmtId="15" fontId="40" fillId="3" borderId="4" xfId="3" applyNumberFormat="1" applyFont="1" applyFill="1" applyBorder="1" applyAlignment="1">
      <alignment horizontal="left" vertical="center" indent="1"/>
    </xf>
    <xf numFmtId="49" fontId="40" fillId="3" borderId="4" xfId="3" applyNumberFormat="1" applyFont="1" applyFill="1" applyBorder="1" applyAlignment="1">
      <alignment horizontal="left" vertical="center" indent="1"/>
    </xf>
    <xf numFmtId="0" fontId="37" fillId="0" borderId="6"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7" xfId="0" applyFont="1" applyBorder="1" applyAlignment="1">
      <alignment vertical="center" wrapText="1"/>
    </xf>
    <xf numFmtId="0" fontId="37" fillId="0" borderId="8" xfId="0" applyFont="1" applyBorder="1" applyAlignment="1">
      <alignment horizontal="center" vertical="center"/>
    </xf>
    <xf numFmtId="0" fontId="37" fillId="0" borderId="1" xfId="0" applyFont="1" applyBorder="1" applyAlignment="1">
      <alignment horizontal="left" vertical="center" wrapText="1" indent="1"/>
    </xf>
    <xf numFmtId="0" fontId="37" fillId="0" borderId="6" xfId="0" applyFont="1" applyBorder="1" applyAlignment="1">
      <alignment horizontal="left" vertical="center" wrapText="1" indent="1"/>
    </xf>
    <xf numFmtId="0" fontId="37" fillId="0" borderId="2" xfId="0" applyFont="1" applyBorder="1" applyAlignment="1">
      <alignment horizontal="left" vertical="center" wrapText="1" indent="1"/>
    </xf>
    <xf numFmtId="0" fontId="4" fillId="25" borderId="4" xfId="0" applyFont="1" applyFill="1" applyBorder="1" applyAlignment="1">
      <alignment horizontal="center"/>
    </xf>
    <xf numFmtId="0" fontId="4" fillId="25" borderId="4" xfId="0" applyFont="1" applyFill="1" applyBorder="1"/>
    <xf numFmtId="0" fontId="0" fillId="0" borderId="4" xfId="0" applyBorder="1" applyAlignment="1">
      <alignment horizontal="center"/>
    </xf>
    <xf numFmtId="0" fontId="0" fillId="0" borderId="4" xfId="0" applyBorder="1"/>
    <xf numFmtId="0" fontId="0" fillId="0" borderId="0" xfId="0" applyAlignment="1">
      <alignment horizontal="center"/>
    </xf>
    <xf numFmtId="0" fontId="4" fillId="25" borderId="4" xfId="0" applyFont="1" applyFill="1" applyBorder="1" applyAlignment="1">
      <alignment horizontal="left" indent="1"/>
    </xf>
    <xf numFmtId="0" fontId="0" fillId="0" borderId="4" xfId="0" applyBorder="1" applyAlignment="1">
      <alignment horizontal="center" vertical="center"/>
    </xf>
    <xf numFmtId="0" fontId="0" fillId="0" borderId="0" xfId="0" applyAlignment="1">
      <alignment vertical="center"/>
    </xf>
    <xf numFmtId="0" fontId="0" fillId="0" borderId="4" xfId="0" applyBorder="1" applyAlignment="1">
      <alignment horizontal="left" vertical="center" indent="1"/>
    </xf>
    <xf numFmtId="0" fontId="40" fillId="3" borderId="4" xfId="3" applyFont="1" applyFill="1" applyBorder="1" applyAlignment="1">
      <alignment horizontal="left" vertical="center" indent="1"/>
    </xf>
    <xf numFmtId="0" fontId="40" fillId="3" borderId="12" xfId="3" applyFont="1" applyFill="1" applyBorder="1" applyAlignment="1">
      <alignment horizontal="left" vertical="center"/>
    </xf>
    <xf numFmtId="0" fontId="40" fillId="3" borderId="13" xfId="3" applyFont="1" applyFill="1" applyBorder="1" applyAlignment="1">
      <alignment horizontal="left" vertical="center"/>
    </xf>
    <xf numFmtId="0" fontId="40" fillId="3" borderId="14" xfId="3" applyFont="1" applyFill="1" applyBorder="1" applyAlignment="1">
      <alignment horizontal="left" vertical="center"/>
    </xf>
    <xf numFmtId="0" fontId="40" fillId="3" borderId="12" xfId="3" applyFont="1" applyFill="1" applyBorder="1" applyAlignment="1">
      <alignment horizontal="left" vertical="center" indent="1"/>
    </xf>
    <xf numFmtId="0" fontId="40" fillId="3" borderId="13" xfId="3" applyFont="1" applyFill="1" applyBorder="1" applyAlignment="1">
      <alignment horizontal="left" vertical="center" indent="1"/>
    </xf>
    <xf numFmtId="0" fontId="40" fillId="3" borderId="14" xfId="3" applyFont="1" applyFill="1" applyBorder="1" applyAlignment="1">
      <alignment horizontal="left" vertical="center" indent="1"/>
    </xf>
    <xf numFmtId="0" fontId="37" fillId="26" borderId="2" xfId="0" applyFont="1" applyFill="1" applyBorder="1" applyAlignment="1">
      <alignment horizontal="center" vertical="center" wrapText="1"/>
    </xf>
    <xf numFmtId="0" fontId="42" fillId="27" borderId="4" xfId="0" applyFont="1" applyFill="1" applyBorder="1" applyAlignment="1">
      <alignment vertical="center" wrapText="1"/>
    </xf>
    <xf numFmtId="0" fontId="43" fillId="28" borderId="4" xfId="0" applyFont="1" applyFill="1" applyBorder="1" applyAlignment="1">
      <alignment wrapText="1"/>
    </xf>
    <xf numFmtId="0" fontId="43" fillId="28" borderId="12" xfId="0" applyFont="1" applyFill="1" applyBorder="1" applyAlignment="1"/>
    <xf numFmtId="0" fontId="44" fillId="28" borderId="13" xfId="0" applyFont="1" applyFill="1" applyBorder="1" applyAlignment="1"/>
    <xf numFmtId="0" fontId="45" fillId="29" borderId="4" xfId="0" applyFont="1" applyFill="1" applyBorder="1" applyAlignment="1">
      <alignment vertical="top" wrapText="1"/>
    </xf>
    <xf numFmtId="0" fontId="46" fillId="29" borderId="12" xfId="0" applyFont="1" applyFill="1" applyBorder="1" applyAlignment="1">
      <alignment vertical="top" wrapText="1"/>
    </xf>
    <xf numFmtId="0" fontId="46" fillId="0" borderId="4" xfId="0" applyFont="1" applyBorder="1" applyAlignment="1">
      <alignment vertical="center" wrapText="1"/>
    </xf>
    <xf numFmtId="0" fontId="46" fillId="0" borderId="12" xfId="0" applyFont="1" applyBorder="1" applyAlignment="1">
      <alignment vertical="center" wrapText="1"/>
    </xf>
    <xf numFmtId="0" fontId="43" fillId="28" borderId="13" xfId="0" applyFont="1" applyFill="1" applyBorder="1" applyAlignment="1"/>
    <xf numFmtId="0" fontId="45" fillId="29" borderId="12" xfId="0" applyFont="1" applyFill="1" applyBorder="1" applyAlignment="1">
      <alignment vertical="top" wrapText="1"/>
    </xf>
    <xf numFmtId="0" fontId="46" fillId="0" borderId="12" xfId="0" applyFont="1" applyBorder="1" applyAlignment="1">
      <alignment horizontal="left" vertical="center" wrapText="1"/>
    </xf>
    <xf numFmtId="0" fontId="45" fillId="29" borderId="4" xfId="0" applyFont="1" applyFill="1" applyBorder="1" applyAlignment="1">
      <alignment vertical="center" wrapText="1"/>
    </xf>
    <xf numFmtId="0" fontId="45" fillId="29" borderId="12" xfId="0" applyFont="1" applyFill="1" applyBorder="1" applyAlignment="1">
      <alignment vertical="center" wrapText="1"/>
    </xf>
    <xf numFmtId="0" fontId="46" fillId="29" borderId="12" xfId="0" applyFont="1" applyFill="1" applyBorder="1" applyAlignment="1">
      <alignment vertical="center" wrapText="1"/>
    </xf>
    <xf numFmtId="0" fontId="46" fillId="0" borderId="12" xfId="0" applyFont="1" applyFill="1" applyBorder="1" applyAlignment="1">
      <alignment vertical="center" wrapText="1"/>
    </xf>
    <xf numFmtId="0" fontId="44" fillId="28" borderId="13" xfId="0" applyFont="1" applyFill="1" applyBorder="1" applyAlignment="1">
      <alignment wrapText="1"/>
    </xf>
    <xf numFmtId="0" fontId="43" fillId="28" borderId="12" xfId="0" applyFont="1" applyFill="1" applyBorder="1" applyAlignment="1">
      <alignment wrapText="1"/>
    </xf>
    <xf numFmtId="0" fontId="43" fillId="28" borderId="13" xfId="0" applyFont="1" applyFill="1" applyBorder="1" applyAlignment="1">
      <alignment wrapText="1"/>
    </xf>
    <xf numFmtId="0" fontId="46" fillId="0" borderId="4" xfId="0" applyFont="1" applyFill="1" applyBorder="1" applyAlignment="1">
      <alignment vertical="center" wrapText="1"/>
    </xf>
    <xf numFmtId="0" fontId="13" fillId="0" borderId="12" xfId="0" applyFont="1" applyBorder="1" applyAlignment="1">
      <alignment vertical="center" wrapText="1"/>
    </xf>
    <xf numFmtId="0" fontId="47" fillId="28" borderId="0" xfId="0" applyFont="1" applyFill="1" applyAlignment="1">
      <alignment wrapText="1"/>
    </xf>
    <xf numFmtId="0" fontId="44" fillId="28" borderId="12" xfId="0" applyFont="1" applyFill="1" applyBorder="1" applyAlignment="1">
      <alignment vertical="center" wrapText="1"/>
    </xf>
    <xf numFmtId="0" fontId="0" fillId="0" borderId="0" xfId="0" applyFont="1" applyAlignment="1">
      <alignment wrapText="1"/>
    </xf>
    <xf numFmtId="0" fontId="38" fillId="3" borderId="1" xfId="154" applyFont="1" applyFill="1" applyBorder="1" applyAlignment="1">
      <alignment horizontal="left" vertical="top" wrapText="1"/>
    </xf>
    <xf numFmtId="0" fontId="38" fillId="3" borderId="1" xfId="154" applyFont="1" applyFill="1" applyBorder="1" applyAlignment="1">
      <alignment vertical="top" wrapText="1"/>
    </xf>
    <xf numFmtId="0" fontId="37" fillId="0" borderId="1" xfId="154" applyFont="1" applyBorder="1" applyAlignment="1">
      <alignment horizontal="left" vertical="top" wrapText="1"/>
    </xf>
    <xf numFmtId="0" fontId="37" fillId="0" borderId="1" xfId="154" applyFont="1" applyBorder="1" applyAlignment="1">
      <alignment vertical="top" wrapText="1"/>
    </xf>
    <xf numFmtId="0" fontId="38" fillId="2" borderId="1" xfId="154" applyFont="1" applyFill="1" applyBorder="1" applyAlignment="1">
      <alignment horizontal="left" vertical="top" wrapText="1"/>
    </xf>
    <xf numFmtId="0" fontId="38" fillId="2" borderId="1" xfId="154" applyFont="1" applyFill="1" applyBorder="1" applyAlignment="1">
      <alignment vertical="top" wrapText="1"/>
    </xf>
    <xf numFmtId="0" fontId="37" fillId="0" borderId="28" xfId="154" applyFont="1" applyBorder="1" applyAlignment="1">
      <alignment horizontal="left" vertical="top" wrapText="1"/>
    </xf>
    <xf numFmtId="0" fontId="37" fillId="0" borderId="28" xfId="154" applyFont="1" applyBorder="1" applyAlignment="1">
      <alignment vertical="top" wrapText="1"/>
    </xf>
  </cellXfs>
  <cellStyles count="155">
    <cellStyle name="20% - Accent1 2" xfId="5"/>
    <cellStyle name="20% - Accent1 3" xfId="6"/>
    <cellStyle name="20% - Accent2 2" xfId="7"/>
    <cellStyle name="20% - Accent2 3" xfId="8"/>
    <cellStyle name="20% - Accent3 2" xfId="9"/>
    <cellStyle name="20% - Accent3 3" xfId="10"/>
    <cellStyle name="20% - Accent4 2" xfId="11"/>
    <cellStyle name="20% - Accent4 3" xfId="12"/>
    <cellStyle name="20% - Accent5 2" xfId="13"/>
    <cellStyle name="20% - Accent5 3" xfId="14"/>
    <cellStyle name="20% - Accent6 2" xfId="15"/>
    <cellStyle name="20% - Accent6 3" xfId="16"/>
    <cellStyle name="20% - 輔色1" xfId="17"/>
    <cellStyle name="20% - 輔色2" xfId="18"/>
    <cellStyle name="20% - 輔色3" xfId="19"/>
    <cellStyle name="20% - 輔色4" xfId="20"/>
    <cellStyle name="20% - 輔色5" xfId="21"/>
    <cellStyle name="20% - 輔色6" xfId="22"/>
    <cellStyle name="40% - Accent1 2" xfId="23"/>
    <cellStyle name="40% - Accent1 3" xfId="24"/>
    <cellStyle name="40% - Accent2 2" xfId="25"/>
    <cellStyle name="40% - Accent2 3" xfId="26"/>
    <cellStyle name="40% - Accent3 2" xfId="27"/>
    <cellStyle name="40% - Accent3 3" xfId="28"/>
    <cellStyle name="40% - Accent4 2" xfId="29"/>
    <cellStyle name="40% - Accent4 3" xfId="30"/>
    <cellStyle name="40% - Accent5 2" xfId="31"/>
    <cellStyle name="40% - Accent5 3" xfId="32"/>
    <cellStyle name="40% - Accent6 2" xfId="33"/>
    <cellStyle name="40% - Accent6 3" xfId="34"/>
    <cellStyle name="40% - 輔色1" xfId="35"/>
    <cellStyle name="40% - 輔色2" xfId="36"/>
    <cellStyle name="40% - 輔色3" xfId="37"/>
    <cellStyle name="40% - 輔色4" xfId="38"/>
    <cellStyle name="40% - 輔色5" xfId="39"/>
    <cellStyle name="40% - 輔色6" xfId="40"/>
    <cellStyle name="60% - 輔色1" xfId="41"/>
    <cellStyle name="60% - 輔色2" xfId="42"/>
    <cellStyle name="60% - 輔色3" xfId="43"/>
    <cellStyle name="60% - 輔色4" xfId="44"/>
    <cellStyle name="60% - 輔色5" xfId="45"/>
    <cellStyle name="60% - 輔色6" xfId="46"/>
    <cellStyle name="Calculation 2" xfId="47"/>
    <cellStyle name="Calculation 2 10" xfId="48"/>
    <cellStyle name="Calculation 2 11" xfId="49"/>
    <cellStyle name="Calculation 2 12" xfId="50"/>
    <cellStyle name="Calculation 2 2" xfId="51"/>
    <cellStyle name="Calculation 2 3" xfId="52"/>
    <cellStyle name="Calculation 2 4" xfId="53"/>
    <cellStyle name="Calculation 2 5" xfId="54"/>
    <cellStyle name="Calculation 2 6" xfId="55"/>
    <cellStyle name="Calculation 2 7" xfId="56"/>
    <cellStyle name="Calculation 2 8" xfId="57"/>
    <cellStyle name="Calculation 2 9" xfId="58"/>
    <cellStyle name="Calculation 3" xfId="59"/>
    <cellStyle name="Euro" xfId="60"/>
    <cellStyle name="Head 01" xfId="61"/>
    <cellStyle name="Head-01" xfId="62"/>
    <cellStyle name="Input 2" xfId="63"/>
    <cellStyle name="Input 2 10" xfId="64"/>
    <cellStyle name="Input 2 11" xfId="65"/>
    <cellStyle name="Input 2 12" xfId="66"/>
    <cellStyle name="Input 2 2" xfId="67"/>
    <cellStyle name="Input 2 3" xfId="68"/>
    <cellStyle name="Input 2 4" xfId="69"/>
    <cellStyle name="Input 2 5" xfId="70"/>
    <cellStyle name="Input 2 6" xfId="71"/>
    <cellStyle name="Input 2 7" xfId="72"/>
    <cellStyle name="Input 2 8" xfId="73"/>
    <cellStyle name="Input 2 9" xfId="74"/>
    <cellStyle name="Input 3" xfId="75"/>
    <cellStyle name="Normal" xfId="0" builtinId="0"/>
    <cellStyle name="Normal 18" xfId="76"/>
    <cellStyle name="Normal 2" xfId="2"/>
    <cellStyle name="Normal 2 2" xfId="77"/>
    <cellStyle name="Normal 2 2 2" xfId="78"/>
    <cellStyle name="Normal 2 3" xfId="79"/>
    <cellStyle name="Normal 2 4" xfId="3"/>
    <cellStyle name="Normal 2 5" xfId="80"/>
    <cellStyle name="Normal 2 5 2" xfId="4"/>
    <cellStyle name="Normal 2 6" xfId="154"/>
    <cellStyle name="Normal 3" xfId="81"/>
    <cellStyle name="Normal 3 2" xfId="82"/>
    <cellStyle name="Normal 4" xfId="83"/>
    <cellStyle name="Normal 4 2" xfId="84"/>
    <cellStyle name="Normal 5" xfId="85"/>
    <cellStyle name="Normal 6" xfId="86"/>
    <cellStyle name="Normal 7" xfId="87"/>
    <cellStyle name="Normal 8" xfId="88"/>
    <cellStyle name="Normal 9" xfId="89"/>
    <cellStyle name="Note 2" xfId="90"/>
    <cellStyle name="Note 2 10" xfId="91"/>
    <cellStyle name="Note 2 11" xfId="92"/>
    <cellStyle name="Note 2 12" xfId="93"/>
    <cellStyle name="Note 2 2" xfId="94"/>
    <cellStyle name="Note 2 3" xfId="95"/>
    <cellStyle name="Note 2 4" xfId="96"/>
    <cellStyle name="Note 2 5" xfId="97"/>
    <cellStyle name="Note 2 6" xfId="98"/>
    <cellStyle name="Note 2 7" xfId="99"/>
    <cellStyle name="Note 2 8" xfId="100"/>
    <cellStyle name="Note 2 9" xfId="101"/>
    <cellStyle name="Note 3" xfId="102"/>
    <cellStyle name="Output 2" xfId="103"/>
    <cellStyle name="Output 2 10" xfId="104"/>
    <cellStyle name="Output 2 11" xfId="105"/>
    <cellStyle name="Output 2 12" xfId="106"/>
    <cellStyle name="Output 2 2" xfId="107"/>
    <cellStyle name="Output 2 3" xfId="108"/>
    <cellStyle name="Output 2 4" xfId="109"/>
    <cellStyle name="Output 2 5" xfId="110"/>
    <cellStyle name="Output 2 6" xfId="111"/>
    <cellStyle name="Output 2 7" xfId="112"/>
    <cellStyle name="Output 2 8" xfId="113"/>
    <cellStyle name="Output 2 9" xfId="114"/>
    <cellStyle name="Output 3" xfId="115"/>
    <cellStyle name="Percent" xfId="1" builtinId="5"/>
    <cellStyle name="Percent 2" xfId="116"/>
    <cellStyle name="Total 2" xfId="117"/>
    <cellStyle name="Total 2 10" xfId="118"/>
    <cellStyle name="Total 2 11" xfId="119"/>
    <cellStyle name="Total 2 12" xfId="120"/>
    <cellStyle name="Total 2 2" xfId="121"/>
    <cellStyle name="Total 2 3" xfId="122"/>
    <cellStyle name="Total 2 4" xfId="123"/>
    <cellStyle name="Total 2 5" xfId="124"/>
    <cellStyle name="Total 2 6" xfId="125"/>
    <cellStyle name="Total 2 7" xfId="126"/>
    <cellStyle name="Total 2 8" xfId="127"/>
    <cellStyle name="Total 2 9" xfId="128"/>
    <cellStyle name="Total 3" xfId="129"/>
    <cellStyle name="一般_Recovery Timeframe" xfId="130"/>
    <cellStyle name="中等" xfId="131"/>
    <cellStyle name="備註" xfId="132"/>
    <cellStyle name="合計" xfId="133"/>
    <cellStyle name="壞" xfId="134"/>
    <cellStyle name="好" xfId="135"/>
    <cellStyle name="標題" xfId="136"/>
    <cellStyle name="標題 1" xfId="137"/>
    <cellStyle name="標題 2" xfId="138"/>
    <cellStyle name="標題 3" xfId="139"/>
    <cellStyle name="標題 4" xfId="140"/>
    <cellStyle name="檢查儲存格" xfId="141"/>
    <cellStyle name="計算方式" xfId="142"/>
    <cellStyle name="說明文字" xfId="143"/>
    <cellStyle name="警告文字" xfId="144"/>
    <cellStyle name="輔色1" xfId="145"/>
    <cellStyle name="輔色2" xfId="146"/>
    <cellStyle name="輔色3" xfId="147"/>
    <cellStyle name="輔色4" xfId="148"/>
    <cellStyle name="輔色5" xfId="149"/>
    <cellStyle name="輔色6" xfId="150"/>
    <cellStyle name="輸入" xfId="151"/>
    <cellStyle name="輸出" xfId="152"/>
    <cellStyle name="連結的儲存格" xfId="153"/>
  </cellStyles>
  <dxfs count="6">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s>
  <tableStyles count="0" defaultTableStyle="TableStyleMedium2" defaultPivotStyle="PivotStyleLight16"/>
  <colors>
    <mruColors>
      <color rgb="FFFF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im10\Documents\MyActiveWorkFiles\Projects%202019\SG\OUE%20(2019)\OUE%20ISMS\OUE%20ISMS%20docs\ISMS%20doc%20samples\BLS%20ISMS%20RA&amp;RTP%2020190507-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lim10\Documents\MyActiveWorkInfo\MRC%20Projects%202017\DODID\Dodid%20SS507\SS507%20docs%20WIP\Dodid%20SS507-BCM%20RA%2020181221-3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lim10\AppData\Local\Temp\OneNote\14.0\NT\108\20131219%20ISMS%20A2_RA%20treatment%20Ngai%20He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A-RTP (2)"/>
      <sheetName val="Assets (2)"/>
      <sheetName val="RA-RTP"/>
      <sheetName val="Assets"/>
      <sheetName val="Master list"/>
      <sheetName val="Threats"/>
      <sheetName val="Vulnerabilities"/>
      <sheetName val="Owners"/>
      <sheetName val="Impact"/>
      <sheetName val="Likelihood"/>
      <sheetName val="Acceptance"/>
      <sheetName val="Controls"/>
      <sheetName val="RTP Options"/>
      <sheetName val="RTP status"/>
      <sheetName val="DCFM-assets-3Dec"/>
    </sheetNames>
    <sheetDataSet>
      <sheetData sheetId="0" refreshError="1"/>
      <sheetData sheetId="1" refreshError="1"/>
      <sheetData sheetId="2" refreshError="1"/>
      <sheetData sheetId="3" refreshError="1"/>
      <sheetData sheetId="4">
        <row r="2">
          <cell r="A2" t="str">
            <v>Email server</v>
          </cell>
        </row>
        <row r="3">
          <cell r="A3" t="str">
            <v>BMS main server</v>
          </cell>
        </row>
        <row r="4">
          <cell r="A4" t="str">
            <v>BMS workstation</v>
          </cell>
        </row>
        <row r="5">
          <cell r="A5" t="str">
            <v>Office Work PC</v>
          </cell>
        </row>
        <row r="6">
          <cell r="A6" t="str">
            <v>Firewall</v>
          </cell>
        </row>
        <row r="7">
          <cell r="A7" t="str">
            <v>Router</v>
          </cell>
        </row>
        <row r="8">
          <cell r="A8" t="str">
            <v>NAS</v>
          </cell>
        </row>
        <row r="9">
          <cell r="A9" t="str">
            <v>ACS-CCTV server</v>
          </cell>
        </row>
        <row r="10">
          <cell r="A10" t="str">
            <v>ACS-CCTV core switch</v>
          </cell>
        </row>
        <row r="11">
          <cell r="A11" t="str">
            <v>Chiller System Server</v>
          </cell>
        </row>
        <row r="12">
          <cell r="A12" t="str">
            <v>ACS-CCTV POE switch</v>
          </cell>
        </row>
        <row r="13">
          <cell r="A13" t="str">
            <v>EVMS server</v>
          </cell>
        </row>
        <row r="14">
          <cell r="A14" t="str">
            <v>EVMS Workstation</v>
          </cell>
        </row>
        <row r="15">
          <cell r="A15" t="str">
            <v>Fire Alarm Monitoring System</v>
          </cell>
        </row>
        <row r="16">
          <cell r="A16" t="str">
            <v>CCTV cameras</v>
          </cell>
        </row>
        <row r="17">
          <cell r="A17" t="str">
            <v>ACS and CCTV Workstation</v>
          </cell>
        </row>
        <row r="18">
          <cell r="A18" t="str">
            <v>ACS Card Access  Printing</v>
          </cell>
        </row>
        <row r="19">
          <cell r="A19" t="str">
            <v>Call Center PC</v>
          </cell>
        </row>
        <row r="20">
          <cell r="A20" t="str">
            <v>Call Center Recording</v>
          </cell>
        </row>
        <row r="21">
          <cell r="A21" t="str">
            <v>CCTV recording storage</v>
          </cell>
        </row>
        <row r="22">
          <cell r="A22" t="str">
            <v>CMMS Work Station</v>
          </cell>
        </row>
        <row r="23">
          <cell r="A23" t="str">
            <v>Chiller System BMS Workstation</v>
          </cell>
        </row>
        <row r="24">
          <cell r="A24" t="str">
            <v>Guard Tour Workstation</v>
          </cell>
        </row>
        <row r="25">
          <cell r="A25" t="str">
            <v>Shift Tech Common PC</v>
          </cell>
        </row>
        <row r="26">
          <cell r="A26" t="str">
            <v>UPS Battery Monitoring System</v>
          </cell>
        </row>
        <row r="27">
          <cell r="A27" t="str">
            <v>Paper-based documents</v>
          </cell>
        </row>
        <row r="28">
          <cell r="A28" t="str">
            <v>Digitized documents</v>
          </cell>
        </row>
        <row r="29">
          <cell r="A29" t="str">
            <v>Employees</v>
          </cell>
        </row>
        <row r="30">
          <cell r="A30" t="str">
            <v>Contractor staff</v>
          </cell>
        </row>
        <row r="31">
          <cell r="A31" t="str">
            <v>Software applications</v>
          </cell>
        </row>
        <row r="32">
          <cell r="A32" t="str">
            <v>Database files and records</v>
          </cell>
        </row>
        <row r="33">
          <cell r="A33" t="str">
            <v>Infrastructure</v>
          </cell>
        </row>
        <row r="34">
          <cell r="A34" t="str">
            <v>Outsourced processes &amp; services</v>
          </cell>
        </row>
      </sheetData>
      <sheetData sheetId="5">
        <row r="2">
          <cell r="E2" t="str">
            <v>Information Security Policy (ISMS-01)</v>
          </cell>
        </row>
        <row r="3">
          <cell r="E3" t="str">
            <v>Risk Assessment and Treatment Methodology (ISMS-02)</v>
          </cell>
        </row>
        <row r="4">
          <cell r="E4" t="str">
            <v>Procedures for Document and Record Control (ISMS-03)</v>
          </cell>
        </row>
        <row r="5">
          <cell r="E5" t="str">
            <v>Procedures for Identification of Requirements (ISMS-04)</v>
          </cell>
        </row>
        <row r="6">
          <cell r="E6" t="str">
            <v>Procedure for Internal Audit (ISMS-05)</v>
          </cell>
        </row>
        <row r="7">
          <cell r="E7" t="str">
            <v>Procedure for Corrective Action (ISMS-06)</v>
          </cell>
        </row>
        <row r="8">
          <cell r="E8" t="str">
            <v>Secure Development Policy (ISMS-07)</v>
          </cell>
        </row>
        <row r="9">
          <cell r="E9" t="str">
            <v>Supplier Security Policy (ISMS-08)</v>
          </cell>
        </row>
        <row r="10">
          <cell r="E10" t="str">
            <v>Policy on the Use of Cryptographic Controls (ISMS-09)</v>
          </cell>
        </row>
        <row r="11">
          <cell r="E11" t="str">
            <v>Clear Desk and Clear Screen Policy (ISMS-10)</v>
          </cell>
        </row>
        <row r="12">
          <cell r="E12" t="str">
            <v>Disposal and Destruction Policy (ISMS-11)</v>
          </cell>
        </row>
        <row r="13">
          <cell r="E13" t="str">
            <v>Procedures for Working in Secure Areas (ISMS-12)</v>
          </cell>
        </row>
        <row r="14">
          <cell r="E14" t="str">
            <v>Incident Management Procedure (ISMS-13)</v>
          </cell>
        </row>
        <row r="15">
          <cell r="E15" t="str">
            <v>Operating Procedures for Information and Communication Technology (ISMS-14)</v>
          </cell>
        </row>
        <row r="16">
          <cell r="E16" t="str">
            <v>Business Continuity Plan (BCP-01)</v>
          </cell>
        </row>
        <row r="17">
          <cell r="E17" t="str">
            <v>Statement of Applicability</v>
          </cell>
        </row>
        <row r="18">
          <cell r="E18" t="str">
            <v>Assets inventory list</v>
          </cell>
        </row>
        <row r="19">
          <cell r="E19" t="str">
            <v>Policy statement</v>
          </cell>
        </row>
        <row r="20">
          <cell r="E20" t="str">
            <v>Identification of requirements (appendix 5)</v>
          </cell>
        </row>
        <row r="21">
          <cell r="E21" t="str">
            <v>Risk Assessment Table (electronic form – Excel document)</v>
          </cell>
        </row>
        <row r="22">
          <cell r="E22" t="str">
            <v>Risk  Assessment Report</v>
          </cell>
        </row>
        <row r="23">
          <cell r="E23" t="str">
            <v>Risk Treatment Table (electronic form – Excel document)</v>
          </cell>
        </row>
        <row r="24">
          <cell r="E24" t="str">
            <v>Risk Assessment and Treatment Report (electronic form – PDF format)</v>
          </cell>
        </row>
        <row r="25">
          <cell r="E25" t="str">
            <v>Statement of Applicability (electronic form – PDF format)</v>
          </cell>
        </row>
        <row r="26">
          <cell r="E26" t="str">
            <v>Risk treatment plan (electronic form – Word document)</v>
          </cell>
        </row>
        <row r="27">
          <cell r="E27" t="str">
            <v>Management review meeting summary</v>
          </cell>
        </row>
        <row r="28">
          <cell r="E28" t="str">
            <v>Management review meeting minutes</v>
          </cell>
        </row>
        <row r="29">
          <cell r="E29" t="str">
            <v>Internal audit program</v>
          </cell>
        </row>
        <row r="30">
          <cell r="E30" t="str">
            <v>Internal audit checklist</v>
          </cell>
        </row>
        <row r="31">
          <cell r="E31" t="str">
            <v>Internal audit report</v>
          </cell>
        </row>
        <row r="32">
          <cell r="E32" t="str">
            <v>Corrective actions record</v>
          </cell>
        </row>
        <row r="33">
          <cell r="E33" t="str">
            <v>Training feedback and evaluation records</v>
          </cell>
        </row>
        <row r="34">
          <cell r="E34" t="str">
            <v>Criteria for classification of information</v>
          </cell>
        </row>
        <row r="35">
          <cell r="E35" t="str">
            <v>Legal register</v>
          </cell>
        </row>
        <row r="36">
          <cell r="E36" t="str">
            <v>Procedures for ACMV system maintenance (SOP-01)</v>
          </cell>
        </row>
        <row r="37">
          <cell r="E37" t="str">
            <v>Procedures for power failure (SOP-02)</v>
          </cell>
        </row>
        <row r="38">
          <cell r="E38" t="str">
            <v>Procedures for deployment of work (SOP-03)</v>
          </cell>
        </row>
        <row r="39">
          <cell r="E39" t="str">
            <v>Procedures for electrical maintenance (SOP-04)</v>
          </cell>
        </row>
      </sheetData>
      <sheetData sheetId="6">
        <row r="5">
          <cell r="B5" t="str">
            <v>accidental change of information system data</v>
          </cell>
        </row>
        <row r="6">
          <cell r="B6" t="str">
            <v>application errors</v>
          </cell>
        </row>
        <row r="7">
          <cell r="B7" t="str">
            <v>bomb attack</v>
          </cell>
        </row>
        <row r="8">
          <cell r="B8" t="str">
            <v>bomb threat</v>
          </cell>
        </row>
        <row r="9">
          <cell r="B9" t="str">
            <v>breach of contractual relations</v>
          </cell>
        </row>
        <row r="10">
          <cell r="B10" t="str">
            <v>breach of legislation</v>
          </cell>
        </row>
        <row r="11">
          <cell r="B11" t="str">
            <v>breakdown of communication links</v>
          </cell>
        </row>
        <row r="12">
          <cell r="B12" t="str">
            <v>concealing user identity</v>
          </cell>
        </row>
        <row r="13">
          <cell r="B13" t="str">
            <v>damage caused by third-party activities</v>
          </cell>
        </row>
        <row r="14">
          <cell r="B14" t="str">
            <v>damage incurred during penetration testing</v>
          </cell>
        </row>
        <row r="15">
          <cell r="B15" t="str">
            <v>destruction of records</v>
          </cell>
        </row>
        <row r="16">
          <cell r="B16" t="str">
            <v>deterioration of media</v>
          </cell>
        </row>
        <row r="17">
          <cell r="B17" t="str">
            <v>disclosure of passwords</v>
          </cell>
        </row>
        <row r="18">
          <cell r="B18" t="str">
            <v>eavesdropping</v>
          </cell>
        </row>
        <row r="19">
          <cell r="B19" t="str">
            <v>embezzlement</v>
          </cell>
        </row>
        <row r="20">
          <cell r="B20" t="str">
            <v>equipment failure</v>
          </cell>
        </row>
        <row r="21">
          <cell r="B21" t="str">
            <v>falsification of records</v>
          </cell>
        </row>
        <row r="22">
          <cell r="B22" t="str">
            <v>fire</v>
          </cell>
        </row>
        <row r="23">
          <cell r="B23" t="str">
            <v>flood</v>
          </cell>
        </row>
        <row r="24">
          <cell r="B24" t="str">
            <v>fraud</v>
          </cell>
        </row>
        <row r="25">
          <cell r="B25" t="str">
            <v>hacking or virus attack</v>
          </cell>
        </row>
        <row r="26">
          <cell r="B26" t="str">
            <v>industrial espionage</v>
          </cell>
        </row>
        <row r="27">
          <cell r="B27" t="str">
            <v>information interception</v>
          </cell>
        </row>
        <row r="28">
          <cell r="B28" t="str">
            <v>interruption of power supply</v>
          </cell>
        </row>
        <row r="29">
          <cell r="B29" t="str">
            <v>leakage/disclosure of information</v>
          </cell>
        </row>
        <row r="30">
          <cell r="B30" t="str">
            <v>loss of support services</v>
          </cell>
        </row>
        <row r="31">
          <cell r="B31" t="str">
            <v>maintenance errors</v>
          </cell>
        </row>
        <row r="32">
          <cell r="B32" t="str">
            <v>malicious code</v>
          </cell>
        </row>
        <row r="33">
          <cell r="B33" t="str">
            <v>misuse of audit tools</v>
          </cell>
        </row>
        <row r="34">
          <cell r="B34" t="str">
            <v>misuse of information systems</v>
          </cell>
        </row>
        <row r="35">
          <cell r="B35" t="str">
            <v>other disasters (man-made)</v>
          </cell>
        </row>
        <row r="36">
          <cell r="B36" t="str">
            <v>other disasters (natural)</v>
          </cell>
        </row>
        <row r="37">
          <cell r="B37" t="str">
            <v>pollution</v>
          </cell>
        </row>
        <row r="38">
          <cell r="B38" t="str">
            <v>social engineering</v>
          </cell>
        </row>
        <row r="39">
          <cell r="B39" t="str">
            <v>strike</v>
          </cell>
        </row>
        <row r="40">
          <cell r="B40" t="str">
            <v>lightning strike</v>
          </cell>
        </row>
        <row r="41">
          <cell r="B41" t="str">
            <v>terrorist attacks</v>
          </cell>
        </row>
        <row r="42">
          <cell r="B42" t="str">
            <v>theft</v>
          </cell>
        </row>
        <row r="43">
          <cell r="B43" t="str">
            <v>unauthorized access to the information system</v>
          </cell>
        </row>
        <row r="44">
          <cell r="B44" t="str">
            <v>unauthorized change of records</v>
          </cell>
        </row>
        <row r="45">
          <cell r="B45" t="str">
            <v>unauthorized installation of software</v>
          </cell>
        </row>
        <row r="46">
          <cell r="B46" t="str">
            <v>unauthorized network access</v>
          </cell>
        </row>
        <row r="47">
          <cell r="B47" t="str">
            <v>unauthorized physical access</v>
          </cell>
        </row>
        <row r="48">
          <cell r="B48" t="str">
            <v>unauthorized use of licensed materials</v>
          </cell>
        </row>
        <row r="49">
          <cell r="B49" t="str">
            <v>unauthorized use of software</v>
          </cell>
        </row>
        <row r="50">
          <cell r="B50" t="str">
            <v>use of unauthorized or untested code</v>
          </cell>
        </row>
        <row r="51">
          <cell r="B51" t="str">
            <v>user error</v>
          </cell>
        </row>
        <row r="52">
          <cell r="B52" t="str">
            <v>vandalism</v>
          </cell>
        </row>
        <row r="53">
          <cell r="B53" t="str">
            <v>Spill sensitive information</v>
          </cell>
        </row>
        <row r="54">
          <cell r="B54" t="str">
            <v>Mishandling of critical and/or sensitive information by authorized users</v>
          </cell>
        </row>
        <row r="55">
          <cell r="B55" t="str">
            <v>Incorrect privilege settings</v>
          </cell>
        </row>
        <row r="56">
          <cell r="B56" t="str">
            <v>Communications contention</v>
          </cell>
        </row>
        <row r="57">
          <cell r="B57" t="str">
            <v>Unreadable display</v>
          </cell>
        </row>
        <row r="58">
          <cell r="B58" t="str">
            <v>Earthquake at primary facility</v>
          </cell>
        </row>
        <row r="59">
          <cell r="B59" t="str">
            <v>Fire at primary facility</v>
          </cell>
        </row>
        <row r="60">
          <cell r="B60" t="str">
            <v>Fire at backup facility</v>
          </cell>
        </row>
        <row r="61">
          <cell r="B61" t="str">
            <v>Resource depletion</v>
          </cell>
        </row>
        <row r="62">
          <cell r="B62" t="str">
            <v>Introduction of vulnerabilities into software products</v>
          </cell>
        </row>
        <row r="63">
          <cell r="B63" t="str">
            <v>Disk error</v>
          </cell>
        </row>
        <row r="64">
          <cell r="B64" t="str">
            <v>Pervasive disk error</v>
          </cell>
        </row>
        <row r="65">
          <cell r="B65" t="str">
            <v>Perform perimeter network reconnaissance/scanning</v>
          </cell>
        </row>
        <row r="66">
          <cell r="B66" t="str">
            <v>Perform network sniffing of exposed networks</v>
          </cell>
        </row>
        <row r="67">
          <cell r="B67" t="str">
            <v>Gather information using open source discovery of organizational information</v>
          </cell>
        </row>
        <row r="68">
          <cell r="B68" t="str">
            <v>Perform reconnaissance and surveillance of targeted organizations</v>
          </cell>
        </row>
        <row r="69">
          <cell r="B69" t="str">
            <v>Perform malware-directed internal reconnaissance</v>
          </cell>
        </row>
        <row r="70">
          <cell r="B70" t="str">
            <v>Craft phishing attacks</v>
          </cell>
        </row>
        <row r="71">
          <cell r="B71" t="str">
            <v>Craft spear phishing attacks</v>
          </cell>
        </row>
        <row r="72">
          <cell r="B72" t="str">
            <v>Craft attacks specifically based on deployed information technology environment</v>
          </cell>
        </row>
        <row r="73">
          <cell r="B73" t="str">
            <v>Create counterfeit/spoof website</v>
          </cell>
        </row>
        <row r="74">
          <cell r="B74" t="str">
            <v>Craft counterfeit certificates</v>
          </cell>
        </row>
        <row r="75">
          <cell r="B75" t="str">
            <v>Create and operate false front organizations to inject malicious components into the supply chain</v>
          </cell>
        </row>
        <row r="76">
          <cell r="B76" t="str">
            <v>Deliver known malware to internal organizational information systems (e.g., virus via email)</v>
          </cell>
        </row>
        <row r="77">
          <cell r="B77" t="str">
            <v>Deliver modified malware to internal organizational information systems</v>
          </cell>
        </row>
        <row r="78">
          <cell r="B78" t="str">
            <v>Deliver targeted malware for control of internal systems and exfiltration of data</v>
          </cell>
        </row>
        <row r="79">
          <cell r="B79" t="str">
            <v>Deliver malware by providing removable media</v>
          </cell>
        </row>
        <row r="80">
          <cell r="B80" t="str">
            <v>Insert untargeted malware into downloadable software and/or into commercial information technology products</v>
          </cell>
        </row>
        <row r="81">
          <cell r="B81" t="str">
            <v>Insert targeted malware into organizational information systems and information system components</v>
          </cell>
        </row>
        <row r="82">
          <cell r="B82" t="str">
            <v>Insert specialized malware into organizational information systems based on system configurations</v>
          </cell>
        </row>
        <row r="83">
          <cell r="B83" t="str">
            <v>Insert counterfeit or tampered hardware into the supply chain</v>
          </cell>
        </row>
        <row r="84">
          <cell r="B84" t="str">
            <v>Insert tampered critical components into organizational systems</v>
          </cell>
        </row>
        <row r="85">
          <cell r="B85" t="str">
            <v>Install general-purpose sniffers on organization-controlled information systems or networks</v>
          </cell>
        </row>
        <row r="86">
          <cell r="B86" t="str">
            <v>Install persistent and targeted sniffers on organizational information systems and networks</v>
          </cell>
        </row>
        <row r="87">
          <cell r="B87" t="str">
            <v>Insert malicious scanning devices (e.g., wireless sniffers) inside facilities</v>
          </cell>
        </row>
        <row r="88">
          <cell r="B88" t="str">
            <v>Insert subverted individuals into organizations</v>
          </cell>
        </row>
        <row r="89">
          <cell r="B89" t="str">
            <v>Insert subverted individuals into privileged positions in organizations</v>
          </cell>
        </row>
        <row r="90">
          <cell r="B90" t="str">
            <v>Exploit physical access of authorized staff to gain access to organizational facilities</v>
          </cell>
        </row>
        <row r="91">
          <cell r="B91" t="str">
            <v>Exploit poorly configured or unauthorized information systems exposed to the Internet</v>
          </cell>
        </row>
        <row r="92">
          <cell r="B92" t="str">
            <v>Exploit split tunneling</v>
          </cell>
        </row>
        <row r="93">
          <cell r="B93" t="str">
            <v>Exploit multi-tenancy in a cloud environment</v>
          </cell>
        </row>
        <row r="94">
          <cell r="B94" t="str">
            <v>Exploit known vulnerabilities in mobile systems (e.g., laptops, PDAs, smart phones)</v>
          </cell>
        </row>
        <row r="95">
          <cell r="B95" t="str">
            <v>Exploit recently discovered vulnerabilities</v>
          </cell>
        </row>
        <row r="96">
          <cell r="B96" t="str">
            <v>Exploit vulnerabilities on internal organizational information systems</v>
          </cell>
        </row>
        <row r="97">
          <cell r="B97" t="str">
            <v>Exploit vulnerabilities using zero-day attacks</v>
          </cell>
        </row>
        <row r="98">
          <cell r="B98" t="str">
            <v>Exploit vulnerabilities in information systems timed with organizational mission/business operations tempo</v>
          </cell>
        </row>
        <row r="99">
          <cell r="B99" t="str">
            <v>Exploit insecure or incomplete data deletion in multi-tenant environment</v>
          </cell>
        </row>
        <row r="100">
          <cell r="B100" t="str">
            <v>Violate isolation in multi-tenant environment</v>
          </cell>
        </row>
        <row r="101">
          <cell r="B101" t="str">
            <v>Compromise critical information systems via physical access</v>
          </cell>
        </row>
        <row r="102">
          <cell r="B102" t="str">
            <v>Compromise information systems or devices used externally and reintroduced into the enterprise</v>
          </cell>
        </row>
        <row r="103">
          <cell r="B103" t="str">
            <v>Compromise software of organizational critical information systems</v>
          </cell>
        </row>
        <row r="104">
          <cell r="B104" t="str">
            <v>Compromise organizational information systems to facilitate exfiltration of data/information</v>
          </cell>
        </row>
        <row r="105">
          <cell r="B105" t="str">
            <v>Compromise mission-critical information</v>
          </cell>
        </row>
        <row r="106">
          <cell r="B106" t="str">
            <v>Compromise design, manufacture, and/or distribution of information system components (including hardware, software, and firmware)</v>
          </cell>
        </row>
        <row r="107">
          <cell r="B107" t="str">
            <v>Conduct communications interception attacks</v>
          </cell>
        </row>
        <row r="108">
          <cell r="B108" t="str">
            <v>Conduct wireless jamming attacks</v>
          </cell>
        </row>
        <row r="109">
          <cell r="B109" t="str">
            <v>Conduct attacks using unauthorized ports, protocols and services</v>
          </cell>
        </row>
        <row r="110">
          <cell r="B110" t="str">
            <v>Conduct attacks leveraging traffic/data movement allowed across perimeter</v>
          </cell>
        </row>
        <row r="111">
          <cell r="B111" t="str">
            <v>Conduct simple Denial of Service (DoS) attack</v>
          </cell>
        </row>
        <row r="112">
          <cell r="B112" t="str">
            <v>Conduct Distributed Denial of Service (DDoS) attacks</v>
          </cell>
        </row>
        <row r="113">
          <cell r="B113" t="str">
            <v>Conduct targeted Denial of Service (DoS) attacks</v>
          </cell>
        </row>
        <row r="114">
          <cell r="B114" t="str">
            <v>Conduct physical attacks on organizational facilities</v>
          </cell>
        </row>
        <row r="115">
          <cell r="B115" t="str">
            <v>Conduct physical attacks on infrastructures supporting organizational facilities</v>
          </cell>
        </row>
        <row r="116">
          <cell r="B116" t="str">
            <v>Conduct cyber-physical attacks on organizational facilities</v>
          </cell>
        </row>
        <row r="117">
          <cell r="B117" t="str">
            <v>Conduct data scavenging attacks in a cloud environment</v>
          </cell>
        </row>
        <row r="118">
          <cell r="B118" t="str">
            <v>Conduct brute force login attempts/password guessing attacks</v>
          </cell>
        </row>
        <row r="119">
          <cell r="B119" t="str">
            <v>Conduct nontargeted zero-day attacks</v>
          </cell>
        </row>
        <row r="120">
          <cell r="B120" t="str">
            <v>Conduct externally-based session hijacking</v>
          </cell>
        </row>
        <row r="121">
          <cell r="B121" t="str">
            <v>Conduct internally-based session hijacking</v>
          </cell>
        </row>
        <row r="122">
          <cell r="B122" t="str">
            <v>Conduct externally-based network traffic modification (man in the middle) attacks</v>
          </cell>
        </row>
        <row r="123">
          <cell r="B123" t="str">
            <v>Conduct internally-based network traffic modification (man in the middle) attacks</v>
          </cell>
        </row>
        <row r="124">
          <cell r="B124" t="str">
            <v>Conduct outsider-based social engineering to obtain information</v>
          </cell>
        </row>
        <row r="125">
          <cell r="B125" t="str">
            <v>Conduct insider-based social engineering to obtain information</v>
          </cell>
        </row>
        <row r="126">
          <cell r="B126" t="str">
            <v>Conduct attacks targeting and compromising personal devices of critical employees</v>
          </cell>
        </row>
        <row r="127">
          <cell r="B127" t="str">
            <v>Conduct supply chain attacks targeting and exploiting critical hardware, software, or firmware</v>
          </cell>
        </row>
        <row r="128">
          <cell r="B128" t="str">
            <v>Obtain sensitive information through network sniffing of external networks</v>
          </cell>
        </row>
        <row r="129">
          <cell r="B129" t="str">
            <v>Obtain sensitive information via exfiltration</v>
          </cell>
        </row>
        <row r="130">
          <cell r="B130" t="str">
            <v>Cause degradation or denial of attacker-selected services or capabilities</v>
          </cell>
        </row>
        <row r="131">
          <cell r="B131" t="str">
            <v>Cause deterioration/destruction of critical information system components and functions</v>
          </cell>
        </row>
        <row r="132">
          <cell r="B132" t="str">
            <v>Cause integrity loss by creating, deleting, and/or modifying data on publicly accessible information systems (e.g., web defacement)</v>
          </cell>
        </row>
        <row r="133">
          <cell r="B133" t="str">
            <v>Cause integrity loss by polluting or corrupting critical data</v>
          </cell>
        </row>
        <row r="134">
          <cell r="B134" t="str">
            <v>Cause integrity loss by injecting false but believable data into organizational information systems</v>
          </cell>
        </row>
        <row r="135">
          <cell r="B135" t="str">
            <v>Cause disclosure of critical and/or sensitive information by authorized users</v>
          </cell>
        </row>
        <row r="136">
          <cell r="B136" t="str">
            <v>Cause unauthorized disclosure and/or unavailability by spilling sensitive information</v>
          </cell>
        </row>
        <row r="137">
          <cell r="B137" t="str">
            <v>Obtain information by externally located interception of wireless network traffic</v>
          </cell>
        </row>
        <row r="138">
          <cell r="B138" t="str">
            <v>Obtain unauthorized access</v>
          </cell>
        </row>
        <row r="139">
          <cell r="B139" t="str">
            <v>Obtain sensitive data/information from publicly accessible information systems</v>
          </cell>
        </row>
        <row r="140">
          <cell r="B140" t="str">
            <v>Obtain information by opportunistically stealing or scavenging information systems/components</v>
          </cell>
        </row>
        <row r="141">
          <cell r="B141" t="str">
            <v>Obfuscate adversary actions</v>
          </cell>
        </row>
        <row r="142">
          <cell r="B142" t="str">
            <v>Adapt cyber attacks based on detailed surveillance</v>
          </cell>
        </row>
        <row r="143">
          <cell r="B143" t="str">
            <v>Coordinate a campaign of multi-staged attacks (e.g., hopping)</v>
          </cell>
        </row>
        <row r="144">
          <cell r="B144" t="str">
            <v>Coordinate a campaign that combines internal and external attacks across multiple information systems and information technologies</v>
          </cell>
        </row>
        <row r="145">
          <cell r="B145" t="str">
            <v>Coordinate campaigns across multiple organizations to acquire specific information or achieve desired outcome</v>
          </cell>
        </row>
        <row r="146">
          <cell r="B146" t="str">
            <v>Coordinate a campaign that spreads attacks across organizational systems from existing presence</v>
          </cell>
        </row>
        <row r="147">
          <cell r="B147" t="str">
            <v>Coordinate a campaign of continuous, adaptive, and changing cyber attacks based on detailed surveillance</v>
          </cell>
        </row>
        <row r="148">
          <cell r="B148" t="str">
            <v>Coordinate cyber attacks using external (outsider), internal (insider), and supply chain (supplier) attack vectors</v>
          </cell>
        </row>
      </sheetData>
      <sheetData sheetId="7">
        <row r="6">
          <cell r="B6" t="str">
            <v>active sessions after working hours</v>
          </cell>
        </row>
        <row r="7">
          <cell r="B7" t="str">
            <v>cable placing</v>
          </cell>
        </row>
        <row r="8">
          <cell r="B8" t="str">
            <v>complicated user interface</v>
          </cell>
        </row>
        <row r="9">
          <cell r="B9" t="str">
            <v>cryptographic keys accessible to unauthorized persons</v>
          </cell>
        </row>
        <row r="10">
          <cell r="B10" t="str">
            <v>disposal of storage media without erasing data</v>
          </cell>
        </row>
        <row r="11">
          <cell r="B11" t="str">
            <v>extensive powers</v>
          </cell>
        </row>
        <row r="12">
          <cell r="B12" t="str">
            <v>inadequate capacity management</v>
          </cell>
        </row>
        <row r="13">
          <cell r="B13" t="str">
            <v>inadequate change control</v>
          </cell>
        </row>
        <row r="14">
          <cell r="B14" t="str">
            <v>inadequate level of knowledge and/or awareness of employees</v>
          </cell>
        </row>
        <row r="15">
          <cell r="B15" t="str">
            <v>inadequate maintenance</v>
          </cell>
        </row>
        <row r="16">
          <cell r="B16" t="str">
            <v>inadequate network management</v>
          </cell>
        </row>
        <row r="17">
          <cell r="B17" t="str">
            <v>inadequate segregation of duties</v>
          </cell>
        </row>
        <row r="18">
          <cell r="B18" t="str">
            <v>inadequate supervision of external suppliers</v>
          </cell>
        </row>
        <row r="19">
          <cell r="B19" t="str">
            <v>inadequate supervision of the work of employees</v>
          </cell>
        </row>
        <row r="20">
          <cell r="B20" t="str">
            <v>inadequate user rights</v>
          </cell>
        </row>
        <row r="21">
          <cell r="B21" t="str">
            <v>information available to unauthorized persons</v>
          </cell>
        </row>
        <row r="22">
          <cell r="B22" t="str">
            <v>lack of evidence of sent or received messages</v>
          </cell>
        </row>
        <row r="23">
          <cell r="B23" t="str">
            <v>lack of input and output data control</v>
          </cell>
        </row>
        <row r="24">
          <cell r="B24" t="str">
            <v>lack of or poor internal audit implementation</v>
          </cell>
        </row>
        <row r="25">
          <cell r="B25" t="str">
            <v>lack of validation for processed data</v>
          </cell>
        </row>
        <row r="26">
          <cell r="B26" t="str">
            <v>location sensitive to natural disasters</v>
          </cell>
        </row>
        <row r="27">
          <cell r="B27" t="str">
            <v>location sensitive to water leakage</v>
          </cell>
        </row>
        <row r="28">
          <cell r="B28" t="str">
            <v>mobile equipment subject to theft</v>
          </cell>
        </row>
        <row r="29">
          <cell r="B29" t="str">
            <v>networks accessible to unauthorized persons</v>
          </cell>
        </row>
        <row r="30">
          <cell r="B30" t="str">
            <v>no deactivation of user accounts after termination of employment</v>
          </cell>
        </row>
        <row r="31">
          <cell r="B31" t="str">
            <v>no separation of test and operational environment</v>
          </cell>
        </row>
        <row r="32">
          <cell r="B32" t="str">
            <v>out-of-date databases for protection against malicious code</v>
          </cell>
        </row>
        <row r="33">
          <cell r="B33" t="str">
            <v>over-dependence on one device/system</v>
          </cell>
        </row>
        <row r="34">
          <cell r="B34" t="str">
            <v>poor selection of test data</v>
          </cell>
        </row>
        <row r="35">
          <cell r="B35" t="str">
            <v>sensitivity of equipment to humidity and pollution</v>
          </cell>
        </row>
        <row r="36">
          <cell r="B36" t="str">
            <v>sensitivity of equipment to temperature</v>
          </cell>
        </row>
        <row r="37">
          <cell r="B37" t="str">
            <v>sensitivity of equipment to voltage change</v>
          </cell>
        </row>
        <row r="38">
          <cell r="B38" t="str">
            <v>single copy, only one copy of information</v>
          </cell>
        </row>
        <row r="39">
          <cell r="B39" t="str">
            <v>system-generated user accounts and passwords remain unchanged</v>
          </cell>
        </row>
        <row r="40">
          <cell r="B40" t="str">
            <v>systems unprotected from unauthorized access</v>
          </cell>
        </row>
        <row r="41">
          <cell r="B41" t="str">
            <v>unauthorized access to facilities allowed</v>
          </cell>
        </row>
        <row r="42">
          <cell r="B42" t="str">
            <v>unclearly defined confidentiality level</v>
          </cell>
        </row>
        <row r="43">
          <cell r="B43" t="str">
            <v>unclearly defined cryptographic rules</v>
          </cell>
        </row>
        <row r="44">
          <cell r="B44" t="str">
            <v>unclearly defined organizational rules</v>
          </cell>
        </row>
        <row r="45">
          <cell r="B45" t="str">
            <v>unclearly defined requirements for software development</v>
          </cell>
        </row>
        <row r="46">
          <cell r="B46" t="str">
            <v>unclearly defined rules for access control</v>
          </cell>
        </row>
        <row r="47">
          <cell r="B47" t="str">
            <v>unclearly defined rules for working off-premises</v>
          </cell>
        </row>
        <row r="48">
          <cell r="B48" t="str">
            <v>uncontrolled copying</v>
          </cell>
        </row>
        <row r="49">
          <cell r="B49" t="str">
            <v>uncontrolled Internet downloads</v>
          </cell>
        </row>
        <row r="50">
          <cell r="B50" t="str">
            <v>uncontrolled use of information systems</v>
          </cell>
        </row>
        <row r="51">
          <cell r="B51" t="str">
            <v>undocumented software</v>
          </cell>
        </row>
        <row r="52">
          <cell r="B52" t="str">
            <v>unmotivated or disgruntled employees</v>
          </cell>
        </row>
        <row r="53">
          <cell r="B53" t="str">
            <v>unprotected public network connections</v>
          </cell>
        </row>
        <row r="54">
          <cell r="B54" t="str">
            <v>use of old equipment</v>
          </cell>
        </row>
        <row r="55">
          <cell r="B55" t="str">
            <v>weak passwords</v>
          </cell>
        </row>
      </sheetData>
      <sheetData sheetId="8">
        <row r="2">
          <cell r="B2" t="str">
            <v>CEO</v>
          </cell>
        </row>
        <row r="3">
          <cell r="B3" t="str">
            <v>FAM</v>
          </cell>
        </row>
        <row r="4">
          <cell r="B4" t="str">
            <v>HFM</v>
          </cell>
        </row>
        <row r="5">
          <cell r="B5" t="str">
            <v>QM</v>
          </cell>
        </row>
        <row r="6">
          <cell r="B6" t="str">
            <v xml:space="preserve">SO </v>
          </cell>
        </row>
        <row r="7">
          <cell r="B7" t="str">
            <v>SS</v>
          </cell>
        </row>
        <row r="8">
          <cell r="B8" t="str">
            <v>STC</v>
          </cell>
        </row>
        <row r="9">
          <cell r="B9" t="str">
            <v>Staff</v>
          </cell>
        </row>
        <row r="10">
          <cell r="B10" t="str">
            <v>TEC</v>
          </cell>
        </row>
      </sheetData>
      <sheetData sheetId="9">
        <row r="3">
          <cell r="A3">
            <v>5</v>
          </cell>
        </row>
        <row r="4">
          <cell r="A4">
            <v>4</v>
          </cell>
        </row>
        <row r="5">
          <cell r="A5">
            <v>3</v>
          </cell>
        </row>
        <row r="6">
          <cell r="A6">
            <v>2</v>
          </cell>
        </row>
        <row r="7">
          <cell r="A7">
            <v>1</v>
          </cell>
        </row>
        <row r="11">
          <cell r="A11">
            <v>5</v>
          </cell>
        </row>
        <row r="12">
          <cell r="A12">
            <v>4</v>
          </cell>
        </row>
        <row r="13">
          <cell r="A13">
            <v>3</v>
          </cell>
        </row>
        <row r="14">
          <cell r="A14">
            <v>2</v>
          </cell>
        </row>
        <row r="15">
          <cell r="A15">
            <v>1</v>
          </cell>
        </row>
        <row r="19">
          <cell r="A19">
            <v>5</v>
          </cell>
        </row>
        <row r="20">
          <cell r="A20">
            <v>4</v>
          </cell>
        </row>
        <row r="21">
          <cell r="A21">
            <v>3</v>
          </cell>
        </row>
        <row r="22">
          <cell r="A22">
            <v>2</v>
          </cell>
        </row>
        <row r="23">
          <cell r="A23">
            <v>1</v>
          </cell>
        </row>
      </sheetData>
      <sheetData sheetId="10">
        <row r="2">
          <cell r="A2">
            <v>5</v>
          </cell>
        </row>
        <row r="3">
          <cell r="A3">
            <v>4</v>
          </cell>
        </row>
        <row r="4">
          <cell r="A4">
            <v>3</v>
          </cell>
        </row>
        <row r="5">
          <cell r="A5">
            <v>2</v>
          </cell>
        </row>
        <row r="6">
          <cell r="A6">
            <v>1</v>
          </cell>
        </row>
      </sheetData>
      <sheetData sheetId="11" refreshError="1"/>
      <sheetData sheetId="12" refreshError="1"/>
      <sheetData sheetId="13">
        <row r="2">
          <cell r="A2" t="str">
            <v>Selection of controls</v>
          </cell>
        </row>
        <row r="3">
          <cell r="A3" t="str">
            <v>Transfer of risks to a third party</v>
          </cell>
        </row>
        <row r="4">
          <cell r="A4" t="str">
            <v>Risk avoidance</v>
          </cell>
        </row>
        <row r="5">
          <cell r="A5" t="str">
            <v>Risk acceptance</v>
          </cell>
        </row>
      </sheetData>
      <sheetData sheetId="14">
        <row r="2">
          <cell r="A2" t="str">
            <v>Annual review</v>
          </cell>
        </row>
        <row r="3">
          <cell r="A3" t="str">
            <v>Approved</v>
          </cell>
        </row>
        <row r="4">
          <cell r="A4" t="str">
            <v>Feasibility study</v>
          </cell>
        </row>
        <row r="5">
          <cell r="A5" t="str">
            <v>Implemented</v>
          </cell>
        </row>
        <row r="6">
          <cell r="A6" t="str">
            <v>Monitor</v>
          </cell>
        </row>
        <row r="7">
          <cell r="A7" t="str">
            <v>Pending approval</v>
          </cell>
        </row>
        <row r="8">
          <cell r="A8" t="str">
            <v>WIP</v>
          </cell>
        </row>
        <row r="9">
          <cell r="A9" t="str">
            <v>NA</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s &amp; Threats"/>
      <sheetName val="Cover (2)"/>
      <sheetName val="Cover"/>
      <sheetName val="1.0 Cascaded threats (BCM)"/>
      <sheetName val="1.1 Threats (Dodid)"/>
      <sheetName val="2.0 RA"/>
      <sheetName val="2.1 RA impact"/>
      <sheetName val="Guidelines"/>
      <sheetName val="2.2 Prioritized risks"/>
      <sheetName val="CatNet"/>
      <sheetName val="Key Risks Types"/>
      <sheetName val="Key Risks"/>
      <sheetName val="Threats list"/>
      <sheetName val="Severity"/>
      <sheetName val="Likelihood"/>
      <sheetName val="Impact (SE)"/>
      <sheetName val="Acceptance"/>
      <sheetName val="Policy-Framework"/>
      <sheetName val="RA-BIA flow"/>
      <sheetName val="Cascaded threats (example)"/>
      <sheetName val="RA (BCM) (sample)"/>
      <sheetName val="Prob"/>
      <sheetName val="Tolerance"/>
      <sheetName val="Cascaded threats (2)"/>
      <sheetName val="2.0 RA (2)"/>
    </sheetNames>
    <sheetDataSet>
      <sheetData sheetId="0"/>
      <sheetData sheetId="1"/>
      <sheetData sheetId="2"/>
      <sheetData sheetId="3"/>
      <sheetData sheetId="4"/>
      <sheetData sheetId="5"/>
      <sheetData sheetId="6"/>
      <sheetData sheetId="7"/>
      <sheetData sheetId="8"/>
      <sheetData sheetId="9"/>
      <sheetData sheetId="10"/>
      <sheetData sheetId="11">
        <row r="2">
          <cell r="A2" t="str">
            <v>NA</v>
          </cell>
        </row>
        <row r="3">
          <cell r="A3" t="str">
            <v>Unspecified</v>
          </cell>
        </row>
        <row r="4">
          <cell r="A4" t="str">
            <v>Fire (and explosion) affecting operations and business</v>
          </cell>
        </row>
        <row r="5">
          <cell r="A5" t="str">
            <v>Flood in areas surrounding building</v>
          </cell>
        </row>
        <row r="6">
          <cell r="A6" t="str">
            <v>Prolonged power failure within office and building</v>
          </cell>
        </row>
        <row r="7">
          <cell r="A7" t="str">
            <v>Centralised air-con system failure</v>
          </cell>
        </row>
        <row r="8">
          <cell r="A8" t="str">
            <v>Internal plumbing or sprinkler failure</v>
          </cell>
        </row>
        <row r="9">
          <cell r="A9" t="str">
            <v>Terrorist attack on building, other nearby buildings or vicinity</v>
          </cell>
        </row>
        <row r="10">
          <cell r="A10" t="str">
            <v>People-related risks (external)</v>
          </cell>
        </row>
        <row r="11">
          <cell r="A11" t="str">
            <v>People-related risks (internal)</v>
          </cell>
        </row>
        <row r="12">
          <cell r="A12" t="str">
            <v>IT system failure</v>
          </cell>
        </row>
        <row r="13">
          <cell r="A13" t="str">
            <v>Telecommunications failure</v>
          </cell>
        </row>
        <row r="14">
          <cell r="A14" t="str">
            <v>Infectious diseases or health issues</v>
          </cell>
        </row>
        <row r="15">
          <cell r="A15" t="str">
            <v>Supply-chain disruption</v>
          </cell>
        </row>
        <row r="16">
          <cell r="A16" t="str">
            <v>Soil erosion issues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treatment table"/>
      <sheetName val="Options"/>
      <sheetName val="Controls"/>
    </sheetNames>
    <sheetDataSet>
      <sheetData sheetId="0" refreshError="1"/>
      <sheetData sheetId="1">
        <row r="3">
          <cell r="A3" t="str">
            <v>1. Selection of controls</v>
          </cell>
        </row>
        <row r="4">
          <cell r="A4" t="str">
            <v>2. Transfer of risks to a third party</v>
          </cell>
        </row>
        <row r="5">
          <cell r="A5" t="str">
            <v>3. Risk avoidance</v>
          </cell>
        </row>
        <row r="6">
          <cell r="A6" t="str">
            <v>4. Risk acceptance</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6"/>
  <sheetViews>
    <sheetView showGridLines="0" zoomScale="120" zoomScaleNormal="120" workbookViewId="0">
      <pane xSplit="7" ySplit="17" topLeftCell="H45" activePane="bottomRight" state="frozenSplit"/>
      <selection pane="topRight" activeCell="H1" sqref="H1"/>
      <selection pane="bottomLeft" activeCell="A18" sqref="A18"/>
      <selection pane="bottomRight" activeCell="C14" sqref="C14"/>
    </sheetView>
  </sheetViews>
  <sheetFormatPr defaultRowHeight="15"/>
  <cols>
    <col min="1" max="1" width="15.75" style="31" customWidth="1"/>
    <col min="2" max="2" width="16" style="31" customWidth="1"/>
    <col min="3" max="3" width="30.125" style="31" customWidth="1"/>
    <col min="4" max="4" width="11.5" style="31" customWidth="1"/>
    <col min="5" max="5" width="22.125" style="31" customWidth="1"/>
    <col min="6" max="16384" width="9" style="31"/>
  </cols>
  <sheetData>
    <row r="1" spans="2:5" ht="15.75" customHeight="1">
      <c r="B1"/>
      <c r="C1"/>
      <c r="D1"/>
      <c r="E1"/>
    </row>
    <row r="2" spans="2:5" ht="14.25" customHeight="1">
      <c r="B2"/>
      <c r="C2"/>
      <c r="D2"/>
      <c r="E2"/>
    </row>
    <row r="3" spans="2:5">
      <c r="B3"/>
      <c r="C3"/>
      <c r="D3"/>
      <c r="E3"/>
    </row>
    <row r="4" spans="2:5">
      <c r="B4"/>
      <c r="C4"/>
      <c r="D4"/>
      <c r="E4"/>
    </row>
    <row r="5" spans="2:5" ht="15.75" customHeight="1">
      <c r="B5"/>
      <c r="C5"/>
      <c r="D5"/>
      <c r="E5"/>
    </row>
    <row r="6" spans="2:5" ht="12.75" customHeight="1">
      <c r="B6"/>
      <c r="C6"/>
      <c r="D6"/>
      <c r="E6"/>
    </row>
    <row r="7" spans="2:5" ht="12.75" customHeight="1">
      <c r="B7"/>
      <c r="C7"/>
      <c r="D7"/>
      <c r="E7"/>
    </row>
    <row r="8" spans="2:5">
      <c r="B8"/>
      <c r="C8"/>
      <c r="D8"/>
      <c r="E8"/>
    </row>
    <row r="9" spans="2:5" ht="20.25" customHeight="1">
      <c r="B9" s="54" t="s">
        <v>93</v>
      </c>
      <c r="C9" s="77" t="s">
        <v>139</v>
      </c>
      <c r="D9" s="77"/>
      <c r="E9" s="77"/>
    </row>
    <row r="10" spans="2:5" ht="20.25" hidden="1" customHeight="1">
      <c r="B10" s="54" t="s">
        <v>94</v>
      </c>
      <c r="C10" s="78"/>
      <c r="D10" s="79"/>
      <c r="E10" s="80"/>
    </row>
    <row r="11" spans="2:5" ht="20.25" customHeight="1">
      <c r="B11" s="54" t="s">
        <v>95</v>
      </c>
      <c r="C11" s="81" t="s">
        <v>144</v>
      </c>
      <c r="D11" s="82"/>
      <c r="E11" s="83"/>
    </row>
    <row r="12" spans="2:5" ht="20.25" customHeight="1">
      <c r="B12" s="54" t="s">
        <v>42</v>
      </c>
      <c r="C12" s="77" t="s">
        <v>142</v>
      </c>
      <c r="D12" s="77"/>
      <c r="E12" s="77"/>
    </row>
    <row r="13" spans="2:5" ht="20.25" customHeight="1">
      <c r="B13" s="55" t="s">
        <v>96</v>
      </c>
      <c r="C13" s="56" t="s">
        <v>97</v>
      </c>
      <c r="D13" s="57" t="s">
        <v>101</v>
      </c>
      <c r="E13" s="58" t="s">
        <v>37</v>
      </c>
    </row>
    <row r="14" spans="2:5" ht="20.25" customHeight="1">
      <c r="B14" s="54" t="s">
        <v>102</v>
      </c>
      <c r="C14" s="59" t="s">
        <v>56</v>
      </c>
      <c r="D14" s="54" t="s">
        <v>103</v>
      </c>
      <c r="E14" s="60">
        <v>0</v>
      </c>
    </row>
    <row r="15" spans="2:5" ht="20.25" customHeight="1">
      <c r="B15" s="54" t="s">
        <v>98</v>
      </c>
      <c r="C15" s="58" t="s">
        <v>143</v>
      </c>
      <c r="D15" s="54" t="s">
        <v>99</v>
      </c>
      <c r="E15" s="59">
        <v>44124</v>
      </c>
    </row>
    <row r="16" spans="2:5" ht="20.25" customHeight="1">
      <c r="B16" s="54" t="s">
        <v>100</v>
      </c>
      <c r="C16" s="58"/>
      <c r="D16" s="54" t="s">
        <v>99</v>
      </c>
      <c r="E16" s="59">
        <f>DATE(YEAR(E15),MONTH(E15),DAY(E15)+7)</f>
        <v>44131</v>
      </c>
    </row>
  </sheetData>
  <mergeCells count="4">
    <mergeCell ref="C9:E9"/>
    <mergeCell ref="C10:E10"/>
    <mergeCell ref="C11:E11"/>
    <mergeCell ref="C12:E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36"/>
  <sheetViews>
    <sheetView showGridLines="0" workbookViewId="0">
      <pane xSplit="3" ySplit="1" topLeftCell="D2" activePane="bottomRight" state="frozenSplit"/>
      <selection activeCell="B36" sqref="B36"/>
      <selection pane="topRight" activeCell="B36" sqref="B36"/>
      <selection pane="bottomLeft" activeCell="B36" sqref="B36"/>
      <selection pane="bottomRight" activeCell="B4" sqref="B4"/>
    </sheetView>
  </sheetViews>
  <sheetFormatPr defaultColWidth="8.75" defaultRowHeight="15"/>
  <cols>
    <col min="1" max="1" width="5.625" style="15" customWidth="1"/>
    <col min="2" max="2" width="63.75" style="15" customWidth="1"/>
    <col min="3" max="3" width="12.625" style="8" customWidth="1"/>
    <col min="4" max="4" width="11.875" style="8" customWidth="1"/>
    <col min="5" max="5" width="11.875" style="15" customWidth="1"/>
    <col min="6" max="6" width="33.5" style="15" customWidth="1"/>
    <col min="7" max="7" width="20.625" style="15" customWidth="1"/>
    <col min="8" max="8" width="24.625" style="15" customWidth="1"/>
    <col min="9" max="9" width="32" style="15" customWidth="1"/>
    <col min="10" max="10" width="26.5" style="15" customWidth="1"/>
    <col min="11" max="16384" width="8.75" style="15"/>
  </cols>
  <sheetData>
    <row r="1" spans="1:10" s="16" customFormat="1" ht="30">
      <c r="A1" s="6" t="s">
        <v>0</v>
      </c>
      <c r="B1" s="6" t="s">
        <v>57</v>
      </c>
      <c r="C1" s="7" t="s">
        <v>1</v>
      </c>
      <c r="D1" s="28" t="s">
        <v>31</v>
      </c>
      <c r="E1" s="28" t="s">
        <v>35</v>
      </c>
      <c r="F1" s="29" t="s">
        <v>30</v>
      </c>
      <c r="G1" s="6" t="s">
        <v>58</v>
      </c>
      <c r="H1" s="27" t="s">
        <v>59</v>
      </c>
      <c r="I1" s="27" t="s">
        <v>60</v>
      </c>
      <c r="J1" s="27" t="s">
        <v>61</v>
      </c>
    </row>
    <row r="2" spans="1:10" ht="30">
      <c r="A2" s="9">
        <f>IF($B2&lt;&gt;"",1,"")</f>
        <v>1</v>
      </c>
      <c r="B2" s="10" t="s">
        <v>5</v>
      </c>
      <c r="C2" s="11" t="s">
        <v>6</v>
      </c>
      <c r="D2" s="12" t="s">
        <v>32</v>
      </c>
      <c r="E2" s="13">
        <v>0.8</v>
      </c>
      <c r="F2" s="17" t="s">
        <v>46</v>
      </c>
      <c r="G2" s="26" t="s">
        <v>67</v>
      </c>
      <c r="H2" s="5" t="s">
        <v>78</v>
      </c>
      <c r="I2" s="5" t="s">
        <v>79</v>
      </c>
      <c r="J2" s="5" t="s">
        <v>76</v>
      </c>
    </row>
    <row r="3" spans="1:10" ht="30">
      <c r="A3" s="9">
        <f>IF(AND($B3&lt;&gt;"",$A2&gt;0),1+$A2,"")</f>
        <v>2</v>
      </c>
      <c r="B3" s="10" t="s">
        <v>48</v>
      </c>
      <c r="C3" s="11" t="s">
        <v>9</v>
      </c>
      <c r="D3" s="12" t="s">
        <v>33</v>
      </c>
      <c r="E3" s="13">
        <v>0</v>
      </c>
      <c r="F3" s="17" t="s">
        <v>47</v>
      </c>
      <c r="G3" s="26" t="s">
        <v>67</v>
      </c>
      <c r="H3" s="5" t="s">
        <v>78</v>
      </c>
      <c r="I3" s="5" t="s">
        <v>79</v>
      </c>
      <c r="J3" s="5" t="s">
        <v>76</v>
      </c>
    </row>
    <row r="4" spans="1:10" ht="30">
      <c r="A4" s="9">
        <f t="shared" ref="A4:A36" si="0">IF(AND($B4&lt;&gt;"",$A3&gt;0),1+$A3,"")</f>
        <v>3</v>
      </c>
      <c r="B4" s="10" t="s">
        <v>49</v>
      </c>
      <c r="C4" s="11" t="s">
        <v>3</v>
      </c>
      <c r="D4" s="12"/>
      <c r="E4" s="13">
        <v>0</v>
      </c>
      <c r="F4" s="17"/>
      <c r="G4" s="26" t="s">
        <v>67</v>
      </c>
      <c r="H4" s="5" t="s">
        <v>78</v>
      </c>
      <c r="I4" s="5" t="s">
        <v>79</v>
      </c>
      <c r="J4" s="5" t="s">
        <v>76</v>
      </c>
    </row>
    <row r="5" spans="1:10" ht="30">
      <c r="A5" s="9">
        <f t="shared" si="0"/>
        <v>4</v>
      </c>
      <c r="B5" s="10" t="s">
        <v>50</v>
      </c>
      <c r="C5" s="11" t="s">
        <v>37</v>
      </c>
      <c r="D5" s="12"/>
      <c r="E5" s="13">
        <v>0</v>
      </c>
      <c r="F5" s="17" t="s">
        <v>40</v>
      </c>
      <c r="G5" s="26" t="s">
        <v>67</v>
      </c>
      <c r="H5" s="5" t="s">
        <v>78</v>
      </c>
      <c r="I5" s="5" t="s">
        <v>79</v>
      </c>
      <c r="J5" s="5" t="s">
        <v>76</v>
      </c>
    </row>
    <row r="6" spans="1:10" ht="30">
      <c r="A6" s="9">
        <f t="shared" si="0"/>
        <v>5</v>
      </c>
      <c r="B6" s="10" t="s">
        <v>51</v>
      </c>
      <c r="C6" s="11" t="s">
        <v>4</v>
      </c>
      <c r="D6" s="12"/>
      <c r="E6" s="13">
        <v>0</v>
      </c>
      <c r="F6" s="17"/>
      <c r="G6" s="26" t="s">
        <v>67</v>
      </c>
      <c r="H6" s="5" t="s">
        <v>78</v>
      </c>
      <c r="I6" s="5" t="s">
        <v>79</v>
      </c>
      <c r="J6" s="5" t="s">
        <v>76</v>
      </c>
    </row>
    <row r="7" spans="1:10" ht="30">
      <c r="A7" s="9">
        <f t="shared" si="0"/>
        <v>6</v>
      </c>
      <c r="B7" s="10" t="s">
        <v>52</v>
      </c>
      <c r="C7" s="11" t="s">
        <v>7</v>
      </c>
      <c r="D7" s="12" t="s">
        <v>32</v>
      </c>
      <c r="E7" s="13">
        <v>0.4</v>
      </c>
      <c r="F7" s="17" t="s">
        <v>41</v>
      </c>
      <c r="G7" s="26" t="s">
        <v>67</v>
      </c>
      <c r="H7" s="5" t="s">
        <v>78</v>
      </c>
      <c r="I7" s="5" t="s">
        <v>79</v>
      </c>
      <c r="J7" s="5" t="s">
        <v>76</v>
      </c>
    </row>
    <row r="8" spans="1:10" ht="30">
      <c r="A8" s="9">
        <f t="shared" si="0"/>
        <v>7</v>
      </c>
      <c r="B8" s="10" t="s">
        <v>2</v>
      </c>
      <c r="C8" s="11" t="s">
        <v>8</v>
      </c>
      <c r="D8" s="12"/>
      <c r="E8" s="13">
        <v>0</v>
      </c>
      <c r="F8" s="17"/>
      <c r="G8" s="26" t="s">
        <v>67</v>
      </c>
      <c r="H8" s="5" t="s">
        <v>78</v>
      </c>
      <c r="I8" s="5" t="s">
        <v>79</v>
      </c>
      <c r="J8" s="5" t="s">
        <v>76</v>
      </c>
    </row>
    <row r="9" spans="1:10" ht="30">
      <c r="A9" s="9">
        <f t="shared" si="0"/>
        <v>8</v>
      </c>
      <c r="B9" s="10" t="s">
        <v>12</v>
      </c>
      <c r="C9" s="11" t="s">
        <v>13</v>
      </c>
      <c r="D9" s="12"/>
      <c r="E9" s="13">
        <v>0</v>
      </c>
      <c r="F9" s="17"/>
      <c r="G9" s="10" t="s">
        <v>67</v>
      </c>
      <c r="H9" s="5" t="s">
        <v>78</v>
      </c>
      <c r="I9" s="5" t="s">
        <v>79</v>
      </c>
      <c r="J9" s="5" t="s">
        <v>76</v>
      </c>
    </row>
    <row r="10" spans="1:10" ht="30">
      <c r="A10" s="9">
        <f t="shared" si="0"/>
        <v>9</v>
      </c>
      <c r="B10" s="10" t="s">
        <v>14</v>
      </c>
      <c r="C10" s="11" t="s">
        <v>15</v>
      </c>
      <c r="D10" s="12"/>
      <c r="E10" s="13">
        <v>0</v>
      </c>
      <c r="F10" s="17"/>
      <c r="G10" s="10" t="s">
        <v>67</v>
      </c>
      <c r="H10" s="5" t="s">
        <v>78</v>
      </c>
      <c r="I10" s="5" t="s">
        <v>79</v>
      </c>
      <c r="J10" s="5" t="s">
        <v>76</v>
      </c>
    </row>
    <row r="11" spans="1:10" ht="30">
      <c r="A11" s="9">
        <f t="shared" si="0"/>
        <v>10</v>
      </c>
      <c r="B11" s="10" t="s">
        <v>16</v>
      </c>
      <c r="C11" s="11" t="s">
        <v>17</v>
      </c>
      <c r="D11" s="12"/>
      <c r="E11" s="13">
        <v>0</v>
      </c>
      <c r="F11" s="17"/>
      <c r="G11" s="10" t="s">
        <v>67</v>
      </c>
      <c r="H11" s="5" t="s">
        <v>78</v>
      </c>
      <c r="I11" s="5" t="s">
        <v>79</v>
      </c>
      <c r="J11" s="5" t="s">
        <v>76</v>
      </c>
    </row>
    <row r="12" spans="1:10" ht="30">
      <c r="A12" s="9">
        <f t="shared" si="0"/>
        <v>11</v>
      </c>
      <c r="B12" s="10" t="s">
        <v>19</v>
      </c>
      <c r="C12" s="11" t="s">
        <v>18</v>
      </c>
      <c r="D12" s="12"/>
      <c r="E12" s="13">
        <v>0</v>
      </c>
      <c r="F12" s="17"/>
      <c r="G12" s="10" t="s">
        <v>67</v>
      </c>
      <c r="H12" s="5" t="s">
        <v>78</v>
      </c>
      <c r="I12" s="5" t="s">
        <v>79</v>
      </c>
      <c r="J12" s="5" t="s">
        <v>76</v>
      </c>
    </row>
    <row r="13" spans="1:10" ht="30">
      <c r="A13" s="9">
        <f t="shared" si="0"/>
        <v>12</v>
      </c>
      <c r="B13" s="10" t="s">
        <v>20</v>
      </c>
      <c r="C13" s="11" t="s">
        <v>21</v>
      </c>
      <c r="D13" s="12"/>
      <c r="E13" s="13">
        <v>0</v>
      </c>
      <c r="F13" s="17"/>
      <c r="G13" s="10" t="s">
        <v>67</v>
      </c>
      <c r="H13" s="5" t="s">
        <v>78</v>
      </c>
      <c r="I13" s="5" t="s">
        <v>79</v>
      </c>
      <c r="J13" s="5" t="s">
        <v>76</v>
      </c>
    </row>
    <row r="14" spans="1:10" ht="30">
      <c r="A14" s="9">
        <f t="shared" si="0"/>
        <v>13</v>
      </c>
      <c r="B14" s="10" t="s">
        <v>22</v>
      </c>
      <c r="C14" s="11" t="s">
        <v>23</v>
      </c>
      <c r="D14" s="12"/>
      <c r="E14" s="13">
        <v>0</v>
      </c>
      <c r="F14" s="17"/>
      <c r="G14" s="10" t="s">
        <v>67</v>
      </c>
      <c r="H14" s="5" t="s">
        <v>78</v>
      </c>
      <c r="I14" s="5" t="s">
        <v>79</v>
      </c>
      <c r="J14" s="5" t="s">
        <v>76</v>
      </c>
    </row>
    <row r="15" spans="1:10" ht="30">
      <c r="A15" s="9">
        <f t="shared" si="0"/>
        <v>14</v>
      </c>
      <c r="B15" s="10" t="s">
        <v>25</v>
      </c>
      <c r="C15" s="11" t="s">
        <v>24</v>
      </c>
      <c r="D15" s="12"/>
      <c r="E15" s="13">
        <v>0</v>
      </c>
      <c r="F15" s="17"/>
      <c r="G15" s="10" t="s">
        <v>67</v>
      </c>
      <c r="H15" s="5" t="s">
        <v>78</v>
      </c>
      <c r="I15" s="5" t="s">
        <v>79</v>
      </c>
      <c r="J15" s="5" t="s">
        <v>76</v>
      </c>
    </row>
    <row r="16" spans="1:10" ht="30">
      <c r="A16" s="9">
        <f t="shared" si="0"/>
        <v>15</v>
      </c>
      <c r="B16" s="10" t="s">
        <v>26</v>
      </c>
      <c r="C16" s="11" t="s">
        <v>27</v>
      </c>
      <c r="D16" s="12"/>
      <c r="E16" s="13">
        <v>0</v>
      </c>
      <c r="F16" s="17"/>
      <c r="G16" s="10" t="s">
        <v>67</v>
      </c>
      <c r="H16" s="5" t="s">
        <v>78</v>
      </c>
      <c r="I16" s="5" t="s">
        <v>79</v>
      </c>
      <c r="J16" s="5" t="s">
        <v>76</v>
      </c>
    </row>
    <row r="17" spans="1:10" ht="30">
      <c r="A17" s="9">
        <f t="shared" si="0"/>
        <v>16</v>
      </c>
      <c r="B17" s="10" t="s">
        <v>29</v>
      </c>
      <c r="C17" s="11" t="s">
        <v>28</v>
      </c>
      <c r="D17" s="12"/>
      <c r="E17" s="13">
        <v>0</v>
      </c>
      <c r="F17" s="17"/>
      <c r="G17" s="10" t="s">
        <v>67</v>
      </c>
      <c r="H17" s="5" t="s">
        <v>78</v>
      </c>
      <c r="I17" s="5" t="s">
        <v>79</v>
      </c>
      <c r="J17" s="5" t="s">
        <v>76</v>
      </c>
    </row>
    <row r="18" spans="1:10" ht="30">
      <c r="A18" s="9">
        <f t="shared" si="0"/>
        <v>17</v>
      </c>
      <c r="B18" s="10" t="s">
        <v>10</v>
      </c>
      <c r="C18" s="11" t="s">
        <v>11</v>
      </c>
      <c r="D18" s="12" t="s">
        <v>34</v>
      </c>
      <c r="E18" s="13">
        <v>1</v>
      </c>
      <c r="F18" s="17" t="s">
        <v>39</v>
      </c>
      <c r="G18" s="10" t="s">
        <v>67</v>
      </c>
      <c r="H18" s="5" t="s">
        <v>78</v>
      </c>
      <c r="I18" s="5" t="s">
        <v>79</v>
      </c>
      <c r="J18" s="5" t="s">
        <v>76</v>
      </c>
    </row>
    <row r="19" spans="1:10" ht="30">
      <c r="A19" s="9">
        <f t="shared" si="0"/>
        <v>18</v>
      </c>
      <c r="B19" s="10" t="s">
        <v>36</v>
      </c>
      <c r="C19" s="11" t="s">
        <v>37</v>
      </c>
      <c r="D19" s="12" t="s">
        <v>32</v>
      </c>
      <c r="E19" s="13">
        <v>0.3</v>
      </c>
      <c r="F19" s="17" t="s">
        <v>38</v>
      </c>
      <c r="G19" s="10" t="s">
        <v>67</v>
      </c>
      <c r="H19" s="5" t="s">
        <v>78</v>
      </c>
      <c r="I19" s="5" t="s">
        <v>79</v>
      </c>
      <c r="J19" s="5" t="s">
        <v>76</v>
      </c>
    </row>
    <row r="20" spans="1:10" ht="30">
      <c r="A20" s="9">
        <f t="shared" si="0"/>
        <v>19</v>
      </c>
      <c r="B20" s="10" t="s">
        <v>53</v>
      </c>
      <c r="C20" s="11" t="s">
        <v>37</v>
      </c>
      <c r="D20" s="20" t="s">
        <v>32</v>
      </c>
      <c r="E20" s="21">
        <v>0.3</v>
      </c>
      <c r="F20" s="22" t="s">
        <v>54</v>
      </c>
      <c r="G20" s="10" t="s">
        <v>67</v>
      </c>
      <c r="H20" s="5" t="s">
        <v>78</v>
      </c>
      <c r="I20" s="5" t="s">
        <v>79</v>
      </c>
      <c r="J20" s="5" t="s">
        <v>76</v>
      </c>
    </row>
    <row r="21" spans="1:10" ht="30">
      <c r="A21" s="9">
        <f t="shared" si="0"/>
        <v>20</v>
      </c>
      <c r="B21" s="18" t="s">
        <v>55</v>
      </c>
      <c r="C21" s="19" t="s">
        <v>37</v>
      </c>
      <c r="D21" s="12" t="s">
        <v>32</v>
      </c>
      <c r="E21" s="13">
        <v>0.3</v>
      </c>
      <c r="F21" s="14" t="s">
        <v>54</v>
      </c>
      <c r="G21" s="24" t="s">
        <v>67</v>
      </c>
      <c r="H21" s="5" t="s">
        <v>78</v>
      </c>
      <c r="I21" s="5" t="s">
        <v>79</v>
      </c>
      <c r="J21" s="5" t="s">
        <v>76</v>
      </c>
    </row>
    <row r="22" spans="1:10" ht="30">
      <c r="A22" s="9">
        <f t="shared" si="0"/>
        <v>21</v>
      </c>
      <c r="B22" s="18" t="s">
        <v>77</v>
      </c>
      <c r="C22" s="19" t="s">
        <v>37</v>
      </c>
      <c r="D22" s="12"/>
      <c r="E22" s="13">
        <v>0</v>
      </c>
      <c r="F22" s="14"/>
      <c r="G22" s="24"/>
      <c r="H22" s="5" t="s">
        <v>78</v>
      </c>
      <c r="I22" s="5" t="s">
        <v>79</v>
      </c>
      <c r="J22" s="5" t="s">
        <v>76</v>
      </c>
    </row>
    <row r="23" spans="1:10" ht="45">
      <c r="A23" s="9">
        <f t="shared" si="0"/>
        <v>22</v>
      </c>
      <c r="B23" s="5" t="s">
        <v>62</v>
      </c>
      <c r="C23" s="5"/>
      <c r="D23" s="12"/>
      <c r="E23" s="13">
        <v>0</v>
      </c>
      <c r="F23" s="25"/>
      <c r="G23" s="10" t="s">
        <v>67</v>
      </c>
      <c r="H23" s="5" t="s">
        <v>83</v>
      </c>
      <c r="I23" s="5" t="s">
        <v>84</v>
      </c>
      <c r="J23" s="5" t="s">
        <v>80</v>
      </c>
    </row>
    <row r="24" spans="1:10" ht="45">
      <c r="A24" s="9">
        <f t="shared" si="0"/>
        <v>23</v>
      </c>
      <c r="B24" s="5" t="s">
        <v>63</v>
      </c>
      <c r="C24" s="5"/>
      <c r="D24" s="12"/>
      <c r="E24" s="13">
        <v>0</v>
      </c>
      <c r="F24" s="5"/>
      <c r="G24" s="10" t="s">
        <v>67</v>
      </c>
      <c r="H24" s="5" t="s">
        <v>83</v>
      </c>
      <c r="I24" s="5" t="s">
        <v>84</v>
      </c>
      <c r="J24" s="5" t="s">
        <v>80</v>
      </c>
    </row>
    <row r="25" spans="1:10" ht="45">
      <c r="A25" s="9">
        <f t="shared" si="0"/>
        <v>24</v>
      </c>
      <c r="B25" s="5" t="s">
        <v>64</v>
      </c>
      <c r="C25" s="5"/>
      <c r="D25" s="12"/>
      <c r="E25" s="13">
        <v>0</v>
      </c>
      <c r="F25" s="5"/>
      <c r="G25" s="10" t="s">
        <v>67</v>
      </c>
      <c r="H25" s="5" t="s">
        <v>87</v>
      </c>
      <c r="I25" s="5" t="s">
        <v>88</v>
      </c>
      <c r="J25" s="5" t="s">
        <v>81</v>
      </c>
    </row>
    <row r="26" spans="1:10" ht="45">
      <c r="A26" s="9">
        <f t="shared" si="0"/>
        <v>25</v>
      </c>
      <c r="B26" s="5" t="s">
        <v>65</v>
      </c>
      <c r="C26" s="5"/>
      <c r="D26" s="12"/>
      <c r="E26" s="13">
        <v>0</v>
      </c>
      <c r="F26" s="5"/>
      <c r="G26" s="10" t="s">
        <v>67</v>
      </c>
      <c r="H26" s="5" t="s">
        <v>85</v>
      </c>
      <c r="I26" s="5" t="s">
        <v>86</v>
      </c>
      <c r="J26" s="5" t="s">
        <v>82</v>
      </c>
    </row>
    <row r="27" spans="1:10" ht="45">
      <c r="A27" s="9">
        <f t="shared" si="0"/>
        <v>26</v>
      </c>
      <c r="B27" s="5" t="s">
        <v>66</v>
      </c>
      <c r="C27" s="5"/>
      <c r="D27" s="12"/>
      <c r="E27" s="13">
        <v>0</v>
      </c>
      <c r="F27" s="5"/>
      <c r="G27" s="10" t="s">
        <v>67</v>
      </c>
      <c r="H27" s="5" t="s">
        <v>90</v>
      </c>
      <c r="I27" s="5" t="s">
        <v>89</v>
      </c>
      <c r="J27" s="5" t="s">
        <v>82</v>
      </c>
    </row>
    <row r="28" spans="1:10" ht="30">
      <c r="A28" s="9">
        <f t="shared" si="0"/>
        <v>27</v>
      </c>
      <c r="B28" s="23" t="s">
        <v>68</v>
      </c>
      <c r="C28" s="23"/>
      <c r="D28" s="12"/>
      <c r="E28" s="13">
        <v>0</v>
      </c>
      <c r="F28" s="23"/>
      <c r="G28" s="10" t="s">
        <v>67</v>
      </c>
      <c r="H28" s="5" t="s">
        <v>78</v>
      </c>
      <c r="I28" s="5" t="s">
        <v>79</v>
      </c>
      <c r="J28" s="5" t="s">
        <v>82</v>
      </c>
    </row>
    <row r="29" spans="1:10" s="10" customFormat="1" ht="30">
      <c r="A29" s="9">
        <f t="shared" si="0"/>
        <v>28</v>
      </c>
      <c r="B29" s="5" t="s">
        <v>69</v>
      </c>
      <c r="C29" s="9"/>
      <c r="D29" s="12"/>
      <c r="E29" s="13">
        <v>0</v>
      </c>
      <c r="G29" s="10" t="s">
        <v>67</v>
      </c>
      <c r="H29" s="5" t="s">
        <v>78</v>
      </c>
      <c r="I29" s="5" t="s">
        <v>79</v>
      </c>
      <c r="J29" s="5" t="s">
        <v>82</v>
      </c>
    </row>
    <row r="30" spans="1:10" s="10" customFormat="1" ht="30">
      <c r="A30" s="9">
        <f t="shared" si="0"/>
        <v>29</v>
      </c>
      <c r="B30" s="5" t="s">
        <v>70</v>
      </c>
      <c r="C30" s="9"/>
      <c r="D30" s="12"/>
      <c r="E30" s="13">
        <v>0</v>
      </c>
      <c r="G30" s="10" t="s">
        <v>67</v>
      </c>
      <c r="H30" s="5" t="s">
        <v>78</v>
      </c>
      <c r="I30" s="5" t="s">
        <v>79</v>
      </c>
      <c r="J30" s="5" t="s">
        <v>76</v>
      </c>
    </row>
    <row r="31" spans="1:10" s="10" customFormat="1" ht="30">
      <c r="A31" s="9">
        <f t="shared" si="0"/>
        <v>30</v>
      </c>
      <c r="B31" s="5" t="s">
        <v>71</v>
      </c>
      <c r="C31" s="9"/>
      <c r="D31" s="12"/>
      <c r="E31" s="13">
        <v>0</v>
      </c>
      <c r="G31" s="10" t="s">
        <v>67</v>
      </c>
      <c r="H31" s="5" t="s">
        <v>78</v>
      </c>
      <c r="I31" s="5" t="s">
        <v>79</v>
      </c>
      <c r="J31" s="5" t="s">
        <v>76</v>
      </c>
    </row>
    <row r="32" spans="1:10" s="10" customFormat="1" ht="30">
      <c r="A32" s="9">
        <f t="shared" si="0"/>
        <v>31</v>
      </c>
      <c r="B32" s="5" t="s">
        <v>72</v>
      </c>
      <c r="C32" s="9"/>
      <c r="D32" s="12"/>
      <c r="E32" s="13">
        <v>0</v>
      </c>
      <c r="G32" s="10" t="s">
        <v>67</v>
      </c>
      <c r="H32" s="5" t="s">
        <v>78</v>
      </c>
      <c r="I32" s="5" t="s">
        <v>79</v>
      </c>
      <c r="J32" s="5" t="s">
        <v>76</v>
      </c>
    </row>
    <row r="33" spans="1:10" s="10" customFormat="1" ht="30">
      <c r="A33" s="9">
        <f t="shared" si="0"/>
        <v>32</v>
      </c>
      <c r="B33" s="5" t="s">
        <v>73</v>
      </c>
      <c r="C33" s="9"/>
      <c r="D33" s="12"/>
      <c r="E33" s="13">
        <v>0</v>
      </c>
      <c r="G33" s="10" t="s">
        <v>67</v>
      </c>
      <c r="H33" s="5" t="s">
        <v>78</v>
      </c>
      <c r="I33" s="5" t="s">
        <v>79</v>
      </c>
      <c r="J33" s="5" t="s">
        <v>76</v>
      </c>
    </row>
    <row r="34" spans="1:10" s="10" customFormat="1" ht="30">
      <c r="A34" s="9">
        <f t="shared" si="0"/>
        <v>33</v>
      </c>
      <c r="B34" s="5" t="s">
        <v>74</v>
      </c>
      <c r="C34" s="9"/>
      <c r="D34" s="12"/>
      <c r="E34" s="13">
        <v>0</v>
      </c>
      <c r="G34" s="10" t="s">
        <v>67</v>
      </c>
      <c r="H34" s="5" t="s">
        <v>78</v>
      </c>
      <c r="I34" s="5" t="s">
        <v>79</v>
      </c>
      <c r="J34" s="5" t="s">
        <v>76</v>
      </c>
    </row>
    <row r="35" spans="1:10" s="10" customFormat="1" ht="30">
      <c r="A35" s="9">
        <f t="shared" si="0"/>
        <v>34</v>
      </c>
      <c r="B35" s="5" t="s">
        <v>91</v>
      </c>
      <c r="C35" s="9" t="s">
        <v>37</v>
      </c>
      <c r="D35" s="12" t="s">
        <v>33</v>
      </c>
      <c r="E35" s="13">
        <v>0.8</v>
      </c>
      <c r="F35" s="10" t="s">
        <v>46</v>
      </c>
      <c r="G35" s="10" t="s">
        <v>67</v>
      </c>
      <c r="H35" s="5" t="s">
        <v>78</v>
      </c>
      <c r="I35" s="5" t="s">
        <v>79</v>
      </c>
      <c r="J35" s="5" t="s">
        <v>76</v>
      </c>
    </row>
    <row r="36" spans="1:10" s="10" customFormat="1" ht="30">
      <c r="A36" s="9">
        <f t="shared" si="0"/>
        <v>35</v>
      </c>
      <c r="B36" s="30" t="s">
        <v>75</v>
      </c>
      <c r="C36" s="9"/>
      <c r="D36" s="12"/>
      <c r="E36" s="13">
        <v>0</v>
      </c>
      <c r="G36" s="10" t="s">
        <v>67</v>
      </c>
      <c r="H36" s="5" t="s">
        <v>78</v>
      </c>
      <c r="I36" s="5" t="s">
        <v>79</v>
      </c>
      <c r="J36" s="5" t="s">
        <v>76</v>
      </c>
    </row>
  </sheetData>
  <conditionalFormatting sqref="E2:E36">
    <cfRule type="iconSet" priority="1">
      <iconSet iconSet="5Quarters" showValue="0">
        <cfvo type="percent" val="0"/>
        <cfvo type="percent" val="20"/>
        <cfvo type="percent" val="40"/>
        <cfvo type="percent" val="60"/>
        <cfvo type="percent" val="80"/>
      </iconSet>
    </cfRule>
  </conditionalFormatting>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Notice" error="Value is unlisted">
          <x14:formula1>
            <xm:f>Categories!$A$2:$A$17</xm:f>
          </x14:formula1>
          <xm:sqref>D2:D36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41"/>
  <sheetViews>
    <sheetView showGridLines="0" tabSelected="1" workbookViewId="0">
      <pane xSplit="4" ySplit="1" topLeftCell="E2" activePane="bottomRight" state="frozenSplit"/>
      <selection activeCell="B36" sqref="B36"/>
      <selection pane="topRight" activeCell="B36" sqref="B36"/>
      <selection pane="bottomLeft" activeCell="B15" sqref="B15"/>
      <selection pane="bottomRight" activeCell="E3" sqref="E3"/>
    </sheetView>
  </sheetViews>
  <sheetFormatPr defaultColWidth="8.75" defaultRowHeight="12.75"/>
  <cols>
    <col min="1" max="1" width="5.625" style="32" customWidth="1"/>
    <col min="2" max="2" width="59" style="32" customWidth="1"/>
    <col min="3" max="3" width="10.625" style="53" customWidth="1"/>
    <col min="4" max="4" width="13" style="53" customWidth="1"/>
    <col min="5" max="5" width="24.25" style="32" customWidth="1"/>
    <col min="6" max="6" width="20.625" style="32" customWidth="1"/>
    <col min="7" max="7" width="17.25" style="32" customWidth="1"/>
    <col min="8" max="8" width="32" style="32" customWidth="1"/>
    <col min="9" max="9" width="38.125" style="32" customWidth="1"/>
    <col min="10" max="10" width="19.5" style="32" customWidth="1"/>
    <col min="11" max="16384" width="8.75" style="32"/>
  </cols>
  <sheetData>
    <row r="1" spans="1:10" s="39" customFormat="1" ht="17.25" customHeight="1">
      <c r="A1" s="33" t="s">
        <v>0</v>
      </c>
      <c r="B1" s="33" t="s">
        <v>57</v>
      </c>
      <c r="C1" s="34" t="s">
        <v>1</v>
      </c>
      <c r="D1" s="35" t="s">
        <v>31</v>
      </c>
      <c r="E1" s="36" t="s">
        <v>30</v>
      </c>
      <c r="F1" s="33" t="s">
        <v>58</v>
      </c>
      <c r="G1" s="37" t="s">
        <v>59</v>
      </c>
      <c r="H1" s="37" t="s">
        <v>60</v>
      </c>
      <c r="I1" s="37" t="s">
        <v>61</v>
      </c>
      <c r="J1" s="38" t="s">
        <v>114</v>
      </c>
    </row>
    <row r="2" spans="1:10" ht="18.75" customHeight="1">
      <c r="A2" s="40">
        <f>IF($B2&lt;&gt;"",1,"")</f>
        <v>1</v>
      </c>
      <c r="B2" s="65" t="s">
        <v>183</v>
      </c>
      <c r="C2" s="42" t="s">
        <v>6</v>
      </c>
      <c r="D2" s="43" t="s">
        <v>182</v>
      </c>
      <c r="E2" s="44"/>
      <c r="F2" s="44"/>
      <c r="G2" s="41"/>
      <c r="H2" s="41"/>
      <c r="I2" s="44" t="s">
        <v>76</v>
      </c>
      <c r="J2" s="45" t="s">
        <v>37</v>
      </c>
    </row>
    <row r="3" spans="1:10" ht="18.75" customHeight="1">
      <c r="A3" s="40">
        <f>IF(AND($B3&lt;&gt;"",$A2&gt;0),1+$A2,"")</f>
        <v>2</v>
      </c>
      <c r="B3" s="65" t="s">
        <v>128</v>
      </c>
      <c r="C3" s="42" t="s">
        <v>9</v>
      </c>
      <c r="D3" s="43" t="s">
        <v>182</v>
      </c>
      <c r="E3" s="46"/>
      <c r="F3" s="44"/>
      <c r="G3" s="41"/>
      <c r="H3" s="41"/>
      <c r="I3" s="44" t="s">
        <v>76</v>
      </c>
      <c r="J3" s="45" t="s">
        <v>37</v>
      </c>
    </row>
    <row r="4" spans="1:10" ht="18.75" customHeight="1">
      <c r="A4" s="40">
        <f t="shared" ref="A4:A41" si="0">IF(AND($B4&lt;&gt;"",$A3&gt;0),1+$A3,"")</f>
        <v>3</v>
      </c>
      <c r="B4" s="65" t="s">
        <v>51</v>
      </c>
      <c r="C4" s="42" t="s">
        <v>3</v>
      </c>
      <c r="D4" s="43" t="s">
        <v>182</v>
      </c>
      <c r="E4" s="46"/>
      <c r="F4" s="44"/>
      <c r="G4" s="41"/>
      <c r="H4" s="41"/>
      <c r="I4" s="44" t="s">
        <v>76</v>
      </c>
      <c r="J4" s="45" t="s">
        <v>37</v>
      </c>
    </row>
    <row r="5" spans="1:10" ht="18.75" customHeight="1">
      <c r="A5" s="40">
        <f t="shared" si="0"/>
        <v>4</v>
      </c>
      <c r="B5" s="65" t="s">
        <v>52</v>
      </c>
      <c r="C5" s="42" t="s">
        <v>4</v>
      </c>
      <c r="D5" s="43" t="s">
        <v>182</v>
      </c>
      <c r="E5" s="46"/>
      <c r="F5" s="44"/>
      <c r="G5" s="41"/>
      <c r="H5" s="41"/>
      <c r="I5" s="44" t="s">
        <v>76</v>
      </c>
      <c r="J5" s="45" t="s">
        <v>37</v>
      </c>
    </row>
    <row r="6" spans="1:10" ht="18.75" customHeight="1">
      <c r="A6" s="40">
        <f t="shared" si="0"/>
        <v>5</v>
      </c>
      <c r="B6" s="65" t="s">
        <v>2</v>
      </c>
      <c r="C6" s="42" t="s">
        <v>7</v>
      </c>
      <c r="D6" s="43" t="s">
        <v>182</v>
      </c>
      <c r="E6" s="46"/>
      <c r="F6" s="44"/>
      <c r="G6" s="41"/>
      <c r="H6" s="41"/>
      <c r="I6" s="44" t="s">
        <v>76</v>
      </c>
      <c r="J6" s="45" t="s">
        <v>37</v>
      </c>
    </row>
    <row r="7" spans="1:10" ht="18.75" customHeight="1">
      <c r="A7" s="40">
        <f t="shared" si="0"/>
        <v>6</v>
      </c>
      <c r="B7" s="65" t="s">
        <v>16</v>
      </c>
      <c r="C7" s="42" t="s">
        <v>8</v>
      </c>
      <c r="D7" s="43" t="s">
        <v>182</v>
      </c>
      <c r="E7" s="46"/>
      <c r="F7" s="44"/>
      <c r="G7" s="41"/>
      <c r="H7" s="41"/>
      <c r="I7" s="44" t="s">
        <v>76</v>
      </c>
      <c r="J7" s="45" t="s">
        <v>37</v>
      </c>
    </row>
    <row r="8" spans="1:10" ht="18.75" customHeight="1">
      <c r="A8" s="40">
        <f t="shared" si="0"/>
        <v>7</v>
      </c>
      <c r="B8" s="65" t="s">
        <v>19</v>
      </c>
      <c r="C8" s="42" t="s">
        <v>13</v>
      </c>
      <c r="D8" s="43" t="s">
        <v>182</v>
      </c>
      <c r="E8" s="46"/>
      <c r="F8" s="44"/>
      <c r="G8" s="41"/>
      <c r="H8" s="41"/>
      <c r="I8" s="44" t="s">
        <v>76</v>
      </c>
      <c r="J8" s="45" t="s">
        <v>37</v>
      </c>
    </row>
    <row r="9" spans="1:10" ht="18.75" customHeight="1">
      <c r="A9" s="40">
        <f t="shared" si="0"/>
        <v>8</v>
      </c>
      <c r="B9" s="65" t="s">
        <v>20</v>
      </c>
      <c r="C9" s="42" t="s">
        <v>15</v>
      </c>
      <c r="D9" s="43" t="s">
        <v>182</v>
      </c>
      <c r="E9" s="46"/>
      <c r="F9" s="44"/>
      <c r="G9" s="41"/>
      <c r="H9" s="41"/>
      <c r="I9" s="44" t="s">
        <v>76</v>
      </c>
      <c r="J9" s="45" t="s">
        <v>37</v>
      </c>
    </row>
    <row r="10" spans="1:10" ht="18.75" customHeight="1">
      <c r="A10" s="40">
        <f t="shared" si="0"/>
        <v>9</v>
      </c>
      <c r="B10" s="65" t="s">
        <v>22</v>
      </c>
      <c r="C10" s="42" t="s">
        <v>17</v>
      </c>
      <c r="D10" s="43" t="s">
        <v>182</v>
      </c>
      <c r="E10" s="46"/>
      <c r="F10" s="44"/>
      <c r="G10" s="41"/>
      <c r="H10" s="41"/>
      <c r="I10" s="44" t="s">
        <v>76</v>
      </c>
      <c r="J10" s="45" t="s">
        <v>37</v>
      </c>
    </row>
    <row r="11" spans="1:10" ht="18.75" customHeight="1">
      <c r="A11" s="40">
        <f t="shared" si="0"/>
        <v>10</v>
      </c>
      <c r="B11" s="65" t="s">
        <v>25</v>
      </c>
      <c r="C11" s="42" t="s">
        <v>18</v>
      </c>
      <c r="D11" s="43" t="s">
        <v>182</v>
      </c>
      <c r="E11" s="46"/>
      <c r="F11" s="44"/>
      <c r="G11" s="41"/>
      <c r="H11" s="41"/>
      <c r="I11" s="44" t="s">
        <v>76</v>
      </c>
      <c r="J11" s="45" t="s">
        <v>37</v>
      </c>
    </row>
    <row r="12" spans="1:10" ht="18.75" customHeight="1">
      <c r="A12" s="40">
        <f t="shared" si="0"/>
        <v>11</v>
      </c>
      <c r="B12" s="65" t="s">
        <v>26</v>
      </c>
      <c r="C12" s="42" t="s">
        <v>21</v>
      </c>
      <c r="D12" s="43" t="s">
        <v>182</v>
      </c>
      <c r="E12" s="46"/>
      <c r="F12" s="44"/>
      <c r="G12" s="41"/>
      <c r="H12" s="41"/>
      <c r="I12" s="44" t="s">
        <v>76</v>
      </c>
      <c r="J12" s="45" t="s">
        <v>37</v>
      </c>
    </row>
    <row r="13" spans="1:10" ht="18.75" customHeight="1">
      <c r="A13" s="40">
        <f t="shared" si="0"/>
        <v>12</v>
      </c>
      <c r="B13" s="65" t="s">
        <v>29</v>
      </c>
      <c r="C13" s="42" t="s">
        <v>23</v>
      </c>
      <c r="D13" s="43" t="s">
        <v>182</v>
      </c>
      <c r="E13" s="46"/>
      <c r="F13" s="44"/>
      <c r="G13" s="41"/>
      <c r="H13" s="41"/>
      <c r="I13" s="44" t="s">
        <v>76</v>
      </c>
      <c r="J13" s="45" t="s">
        <v>37</v>
      </c>
    </row>
    <row r="14" spans="1:10" ht="38.25">
      <c r="A14" s="40">
        <f t="shared" si="0"/>
        <v>13</v>
      </c>
      <c r="B14" s="65" t="s">
        <v>12</v>
      </c>
      <c r="C14" s="42" t="s">
        <v>24</v>
      </c>
      <c r="D14" s="84" t="s">
        <v>190</v>
      </c>
      <c r="E14" s="46" t="s">
        <v>705</v>
      </c>
      <c r="F14" s="44"/>
      <c r="G14" s="41"/>
      <c r="H14" s="41"/>
      <c r="I14" s="44" t="s">
        <v>76</v>
      </c>
      <c r="J14" s="45" t="s">
        <v>189</v>
      </c>
    </row>
    <row r="15" spans="1:10" ht="18.75" customHeight="1">
      <c r="A15" s="40">
        <f t="shared" si="0"/>
        <v>14</v>
      </c>
      <c r="B15" s="65" t="s">
        <v>14</v>
      </c>
      <c r="C15" s="42" t="s">
        <v>27</v>
      </c>
      <c r="D15" s="43" t="s">
        <v>182</v>
      </c>
      <c r="E15" s="46"/>
      <c r="F15" s="44"/>
      <c r="G15" s="41"/>
      <c r="H15" s="41"/>
      <c r="I15" s="44" t="s">
        <v>76</v>
      </c>
      <c r="J15" s="45" t="s">
        <v>37</v>
      </c>
    </row>
    <row r="16" spans="1:10" ht="18.75" customHeight="1">
      <c r="A16" s="40">
        <f t="shared" si="0"/>
        <v>15</v>
      </c>
      <c r="B16" s="65" t="s">
        <v>122</v>
      </c>
      <c r="C16" s="42" t="s">
        <v>28</v>
      </c>
      <c r="D16" s="43" t="s">
        <v>182</v>
      </c>
      <c r="E16" s="46"/>
      <c r="F16" s="44"/>
      <c r="G16" s="41"/>
      <c r="H16" s="41"/>
      <c r="I16" s="44" t="s">
        <v>76</v>
      </c>
      <c r="J16" s="45" t="s">
        <v>37</v>
      </c>
    </row>
    <row r="17" spans="1:11" ht="18.75" customHeight="1">
      <c r="A17" s="40">
        <f t="shared" si="0"/>
        <v>16</v>
      </c>
      <c r="B17" s="65" t="s">
        <v>117</v>
      </c>
      <c r="C17" s="42" t="s">
        <v>118</v>
      </c>
      <c r="D17" s="43" t="s">
        <v>182</v>
      </c>
      <c r="E17" s="46"/>
      <c r="F17" s="44"/>
      <c r="G17" s="41"/>
      <c r="H17" s="41"/>
      <c r="I17" s="44" t="s">
        <v>76</v>
      </c>
      <c r="J17" s="45" t="s">
        <v>37</v>
      </c>
    </row>
    <row r="18" spans="1:11" ht="18.75" customHeight="1">
      <c r="A18" s="40">
        <f t="shared" si="0"/>
        <v>17</v>
      </c>
      <c r="B18" s="65" t="s">
        <v>120</v>
      </c>
      <c r="C18" s="42" t="s">
        <v>119</v>
      </c>
      <c r="D18" s="43" t="s">
        <v>182</v>
      </c>
      <c r="E18" s="46"/>
      <c r="F18" s="44"/>
      <c r="G18" s="41"/>
      <c r="H18" s="41"/>
      <c r="I18" s="44" t="s">
        <v>76</v>
      </c>
      <c r="J18" s="45" t="s">
        <v>37</v>
      </c>
    </row>
    <row r="19" spans="1:11" ht="18.75" customHeight="1">
      <c r="A19" s="40">
        <f t="shared" si="0"/>
        <v>18</v>
      </c>
      <c r="B19" s="65" t="s">
        <v>123</v>
      </c>
      <c r="C19" s="42" t="s">
        <v>124</v>
      </c>
      <c r="D19" s="43" t="s">
        <v>182</v>
      </c>
      <c r="E19" s="46"/>
      <c r="F19" s="44"/>
      <c r="G19" s="41"/>
      <c r="H19" s="41"/>
      <c r="I19" s="44" t="s">
        <v>76</v>
      </c>
      <c r="J19" s="45" t="s">
        <v>37</v>
      </c>
    </row>
    <row r="20" spans="1:11" ht="18.75" customHeight="1">
      <c r="A20" s="40">
        <f t="shared" si="0"/>
        <v>19</v>
      </c>
      <c r="B20" s="65" t="s">
        <v>131</v>
      </c>
      <c r="C20" s="42" t="s">
        <v>132</v>
      </c>
      <c r="D20" s="43" t="s">
        <v>182</v>
      </c>
      <c r="E20" s="46"/>
      <c r="F20" s="44"/>
      <c r="G20" s="41"/>
      <c r="H20" s="41"/>
      <c r="I20" s="44" t="s">
        <v>76</v>
      </c>
      <c r="J20" s="45" t="s">
        <v>37</v>
      </c>
    </row>
    <row r="21" spans="1:11" ht="18.75" customHeight="1">
      <c r="A21" s="40">
        <f t="shared" si="0"/>
        <v>20</v>
      </c>
      <c r="B21" s="65" t="s">
        <v>134</v>
      </c>
      <c r="C21" s="42" t="s">
        <v>133</v>
      </c>
      <c r="D21" s="43" t="s">
        <v>182</v>
      </c>
      <c r="E21" s="46"/>
      <c r="F21" s="44"/>
      <c r="G21" s="41"/>
      <c r="H21" s="41"/>
      <c r="I21" s="44" t="s">
        <v>76</v>
      </c>
      <c r="J21" s="45" t="s">
        <v>37</v>
      </c>
    </row>
    <row r="22" spans="1:11" ht="18.75" customHeight="1">
      <c r="A22" s="40">
        <f t="shared" si="0"/>
        <v>21</v>
      </c>
      <c r="B22" s="65" t="s">
        <v>136</v>
      </c>
      <c r="C22" s="42" t="s">
        <v>135</v>
      </c>
      <c r="D22" s="43" t="s">
        <v>182</v>
      </c>
      <c r="E22" s="46"/>
      <c r="F22" s="44"/>
      <c r="G22" s="41"/>
      <c r="H22" s="41"/>
      <c r="I22" s="44" t="s">
        <v>76</v>
      </c>
      <c r="J22" s="45" t="s">
        <v>37</v>
      </c>
    </row>
    <row r="23" spans="1:11" ht="18.75" customHeight="1">
      <c r="A23" s="40">
        <v>22</v>
      </c>
      <c r="B23" s="65" t="s">
        <v>137</v>
      </c>
      <c r="C23" s="42" t="s">
        <v>138</v>
      </c>
      <c r="D23" s="43" t="s">
        <v>182</v>
      </c>
      <c r="E23" s="47"/>
      <c r="F23" s="44"/>
      <c r="G23" s="41"/>
      <c r="H23" s="41"/>
      <c r="I23" s="44" t="s">
        <v>76</v>
      </c>
      <c r="J23" s="45" t="s">
        <v>37</v>
      </c>
    </row>
    <row r="24" spans="1:11" ht="18.75" customHeight="1">
      <c r="A24" s="40">
        <f t="shared" si="0"/>
        <v>23</v>
      </c>
      <c r="B24" s="66" t="s">
        <v>140</v>
      </c>
      <c r="C24" s="49" t="s">
        <v>141</v>
      </c>
      <c r="D24" s="43" t="s">
        <v>182</v>
      </c>
      <c r="E24" s="50"/>
      <c r="F24" s="44"/>
      <c r="G24" s="41"/>
      <c r="H24" s="41"/>
      <c r="I24" s="44" t="s">
        <v>76</v>
      </c>
      <c r="J24" s="45" t="s">
        <v>37</v>
      </c>
    </row>
    <row r="25" spans="1:11" ht="18.75" customHeight="1">
      <c r="A25" s="40">
        <f t="shared" si="0"/>
        <v>24</v>
      </c>
      <c r="B25" s="65" t="s">
        <v>716</v>
      </c>
      <c r="C25" s="42" t="s">
        <v>715</v>
      </c>
      <c r="D25" s="43" t="s">
        <v>182</v>
      </c>
      <c r="E25" s="51"/>
      <c r="F25" s="44"/>
      <c r="G25" s="41"/>
      <c r="H25" s="41"/>
      <c r="I25" s="44"/>
      <c r="J25" s="45"/>
    </row>
    <row r="26" spans="1:11" ht="27" customHeight="1">
      <c r="A26" s="40" t="str">
        <f t="shared" si="0"/>
        <v/>
      </c>
      <c r="B26" s="65"/>
      <c r="C26" s="42"/>
      <c r="D26" s="43"/>
      <c r="E26" s="41"/>
      <c r="F26" s="44"/>
      <c r="G26" s="41"/>
      <c r="H26" s="41"/>
      <c r="I26" s="44"/>
      <c r="J26" s="45"/>
    </row>
    <row r="27" spans="1:11" ht="27" customHeight="1">
      <c r="A27" s="40" t="str">
        <f t="shared" si="0"/>
        <v/>
      </c>
      <c r="B27" s="66"/>
      <c r="C27" s="49"/>
      <c r="D27" s="43"/>
      <c r="E27" s="41"/>
      <c r="F27" s="44"/>
      <c r="G27" s="41"/>
      <c r="H27" s="41"/>
      <c r="I27" s="44"/>
      <c r="J27" s="45"/>
    </row>
    <row r="28" spans="1:11" s="41" customFormat="1" ht="27" customHeight="1">
      <c r="A28" s="40" t="str">
        <f t="shared" si="0"/>
        <v/>
      </c>
      <c r="B28" s="65"/>
      <c r="C28" s="49"/>
      <c r="D28" s="43"/>
      <c r="F28" s="44"/>
      <c r="I28" s="44"/>
      <c r="J28" s="45"/>
      <c r="K28" s="52"/>
    </row>
    <row r="29" spans="1:11" s="41" customFormat="1" ht="27" customHeight="1">
      <c r="A29" s="40" t="str">
        <f t="shared" si="0"/>
        <v/>
      </c>
      <c r="B29" s="65"/>
      <c r="C29" s="42"/>
      <c r="D29" s="43"/>
      <c r="F29" s="44"/>
      <c r="I29" s="44"/>
      <c r="J29" s="45"/>
      <c r="K29" s="52"/>
    </row>
    <row r="30" spans="1:11" s="41" customFormat="1" ht="27" customHeight="1">
      <c r="A30" s="40" t="str">
        <f t="shared" si="0"/>
        <v/>
      </c>
      <c r="B30" s="65"/>
      <c r="C30" s="42"/>
      <c r="D30" s="43"/>
      <c r="F30" s="44"/>
      <c r="I30" s="44"/>
      <c r="J30" s="45"/>
      <c r="K30" s="52"/>
    </row>
    <row r="31" spans="1:11" s="41" customFormat="1" ht="27" customHeight="1">
      <c r="A31" s="40" t="str">
        <f t="shared" si="0"/>
        <v/>
      </c>
      <c r="B31" s="65"/>
      <c r="C31" s="42"/>
      <c r="D31" s="43"/>
      <c r="F31" s="44"/>
      <c r="I31" s="44"/>
      <c r="J31" s="45"/>
      <c r="K31" s="52"/>
    </row>
    <row r="32" spans="1:11" s="41" customFormat="1" ht="27" customHeight="1">
      <c r="A32" s="40" t="str">
        <f t="shared" si="0"/>
        <v/>
      </c>
      <c r="B32" s="65"/>
      <c r="C32" s="42"/>
      <c r="D32" s="43"/>
      <c r="F32" s="44"/>
      <c r="I32" s="44"/>
      <c r="J32" s="45"/>
      <c r="K32" s="52"/>
    </row>
    <row r="33" spans="1:11" s="41" customFormat="1" ht="27" customHeight="1">
      <c r="A33" s="40" t="str">
        <f t="shared" si="0"/>
        <v/>
      </c>
      <c r="B33" s="65"/>
      <c r="C33" s="42"/>
      <c r="D33" s="43"/>
      <c r="F33" s="44"/>
      <c r="I33" s="44"/>
      <c r="J33" s="45"/>
      <c r="K33" s="52"/>
    </row>
    <row r="34" spans="1:11" s="41" customFormat="1" ht="27" customHeight="1">
      <c r="A34" s="40" t="str">
        <f t="shared" si="0"/>
        <v/>
      </c>
      <c r="B34" s="65"/>
      <c r="C34" s="42"/>
      <c r="D34" s="43"/>
      <c r="F34" s="44"/>
      <c r="I34" s="44"/>
      <c r="J34" s="45"/>
      <c r="K34" s="52"/>
    </row>
    <row r="35" spans="1:11" s="41" customFormat="1" ht="27" customHeight="1">
      <c r="A35" s="40" t="str">
        <f t="shared" si="0"/>
        <v/>
      </c>
      <c r="B35" s="65"/>
      <c r="C35" s="42"/>
      <c r="D35" s="43"/>
      <c r="F35" s="44"/>
      <c r="I35" s="44"/>
      <c r="J35" s="45"/>
      <c r="K35" s="52"/>
    </row>
    <row r="36" spans="1:11" s="41" customFormat="1" ht="27" customHeight="1">
      <c r="A36" s="40" t="str">
        <f t="shared" si="0"/>
        <v/>
      </c>
      <c r="B36" s="65"/>
      <c r="C36" s="42"/>
      <c r="D36" s="43"/>
      <c r="E36" s="48"/>
      <c r="F36" s="44"/>
      <c r="H36" s="48"/>
      <c r="I36" s="63"/>
      <c r="J36" s="64"/>
      <c r="K36" s="52"/>
    </row>
    <row r="37" spans="1:11" ht="27" customHeight="1">
      <c r="A37" s="40" t="str">
        <f t="shared" si="0"/>
        <v/>
      </c>
      <c r="B37" s="65"/>
      <c r="C37" s="42"/>
      <c r="D37" s="43"/>
      <c r="E37" s="50"/>
      <c r="F37" s="44"/>
      <c r="G37" s="41"/>
      <c r="H37" s="50"/>
      <c r="I37" s="50"/>
      <c r="J37" s="45"/>
    </row>
    <row r="38" spans="1:11" ht="27" customHeight="1">
      <c r="A38" s="40" t="str">
        <f t="shared" si="0"/>
        <v/>
      </c>
      <c r="B38" s="65"/>
      <c r="C38" s="40"/>
      <c r="D38" s="43"/>
      <c r="E38" s="50"/>
      <c r="F38" s="44"/>
      <c r="G38" s="41"/>
      <c r="H38" s="50"/>
      <c r="I38" s="50"/>
      <c r="J38" s="45"/>
    </row>
    <row r="39" spans="1:11" ht="27.75" customHeight="1">
      <c r="A39" s="40" t="str">
        <f t="shared" si="0"/>
        <v/>
      </c>
      <c r="B39" s="66"/>
      <c r="C39" s="61"/>
      <c r="D39" s="43"/>
      <c r="E39" s="50"/>
      <c r="F39" s="44"/>
      <c r="G39" s="41"/>
      <c r="H39" s="50"/>
      <c r="I39" s="50"/>
      <c r="J39" s="45"/>
    </row>
    <row r="40" spans="1:11" ht="27.75" customHeight="1">
      <c r="A40" s="40" t="str">
        <f t="shared" si="0"/>
        <v/>
      </c>
      <c r="B40" s="67"/>
      <c r="C40" s="43"/>
      <c r="D40" s="43"/>
      <c r="E40" s="50"/>
      <c r="F40" s="44"/>
      <c r="G40" s="41"/>
      <c r="H40" s="50"/>
      <c r="I40" s="50"/>
      <c r="J40" s="45"/>
    </row>
    <row r="41" spans="1:11" ht="27.75" customHeight="1">
      <c r="A41" s="40" t="str">
        <f t="shared" si="0"/>
        <v/>
      </c>
      <c r="B41" s="67"/>
      <c r="C41" s="43"/>
      <c r="D41" s="43"/>
      <c r="E41" s="50"/>
      <c r="F41" s="44"/>
      <c r="G41" s="41"/>
      <c r="H41" s="50"/>
      <c r="I41" s="50"/>
      <c r="J41" s="45"/>
    </row>
  </sheetData>
  <sortState ref="B2:J16">
    <sortCondition ref="C2:C16"/>
  </sortState>
  <conditionalFormatting sqref="D1:D1048576">
    <cfRule type="cellIs" dxfId="5" priority="1" operator="equal">
      <formula>"Not started"</formula>
    </cfRule>
    <cfRule type="cellIs" dxfId="4" priority="2" operator="equal">
      <formula>"Completed"</formula>
    </cfRule>
  </conditionalFormatting>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Notice" error="Value is unlisted">
          <x14:formula1>
            <xm:f>Categories!$A$2:$A$17</xm:f>
          </x14:formula1>
          <xm:sqref>D2:D41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39"/>
  <sheetViews>
    <sheetView showGridLines="0" workbookViewId="0">
      <pane xSplit="3" ySplit="1" topLeftCell="D5" activePane="bottomRight" state="frozenSplit"/>
      <selection activeCell="B36" sqref="B36"/>
      <selection pane="topRight" activeCell="B36" sqref="B36"/>
      <selection pane="bottomLeft" activeCell="A2" sqref="A2"/>
      <selection pane="bottomRight" activeCell="E18" sqref="E18"/>
    </sheetView>
  </sheetViews>
  <sheetFormatPr defaultColWidth="8.75" defaultRowHeight="12.75"/>
  <cols>
    <col min="1" max="1" width="5.625" style="32" customWidth="1"/>
    <col min="2" max="2" width="59" style="32" customWidth="1"/>
    <col min="3" max="3" width="12.625" style="53" customWidth="1"/>
    <col min="4" max="4" width="17" style="53" customWidth="1"/>
    <col min="5" max="5" width="27.25" style="32" customWidth="1"/>
    <col min="6" max="6" width="20.625" style="32" customWidth="1"/>
    <col min="7" max="7" width="17.25" style="32" customWidth="1"/>
    <col min="8" max="8" width="32" style="32" customWidth="1"/>
    <col min="9" max="9" width="38.125" style="32" customWidth="1"/>
    <col min="10" max="10" width="19.5" style="32" customWidth="1"/>
    <col min="11" max="16384" width="8.75" style="32"/>
  </cols>
  <sheetData>
    <row r="1" spans="1:10" s="39" customFormat="1" ht="25.5">
      <c r="A1" s="33" t="s">
        <v>0</v>
      </c>
      <c r="B1" s="33" t="s">
        <v>57</v>
      </c>
      <c r="C1" s="34" t="s">
        <v>1</v>
      </c>
      <c r="D1" s="35" t="s">
        <v>31</v>
      </c>
      <c r="E1" s="36" t="s">
        <v>30</v>
      </c>
      <c r="F1" s="33" t="s">
        <v>58</v>
      </c>
      <c r="G1" s="37" t="s">
        <v>59</v>
      </c>
      <c r="H1" s="37" t="s">
        <v>60</v>
      </c>
      <c r="I1" s="37" t="s">
        <v>61</v>
      </c>
      <c r="J1" s="38" t="s">
        <v>114</v>
      </c>
    </row>
    <row r="2" spans="1:10" ht="21.75" customHeight="1">
      <c r="A2" s="40">
        <f>IF($B2&lt;&gt;"",1,"")</f>
        <v>1</v>
      </c>
      <c r="B2" s="65" t="s">
        <v>178</v>
      </c>
      <c r="C2" s="42" t="s">
        <v>37</v>
      </c>
      <c r="D2" s="43" t="s">
        <v>104</v>
      </c>
      <c r="E2" s="44" t="s">
        <v>712</v>
      </c>
      <c r="F2" s="44"/>
      <c r="G2" s="41"/>
      <c r="H2" s="41"/>
      <c r="I2" s="44" t="s">
        <v>76</v>
      </c>
      <c r="J2" s="45" t="s">
        <v>37</v>
      </c>
    </row>
    <row r="3" spans="1:10" ht="21.75" customHeight="1">
      <c r="A3" s="40">
        <f t="shared" ref="A3:A39" si="0">IF(AND($B3&lt;&gt;"",$A2&gt;0),1+$A2,"")</f>
        <v>2</v>
      </c>
      <c r="B3" s="65" t="s">
        <v>48</v>
      </c>
      <c r="C3" s="42" t="s">
        <v>37</v>
      </c>
      <c r="D3" s="43" t="s">
        <v>182</v>
      </c>
      <c r="E3" s="46"/>
      <c r="F3" s="44"/>
      <c r="G3" s="41"/>
      <c r="H3" s="41"/>
      <c r="I3" s="44" t="s">
        <v>76</v>
      </c>
      <c r="J3" s="45" t="s">
        <v>37</v>
      </c>
    </row>
    <row r="4" spans="1:10" ht="21.75" customHeight="1">
      <c r="A4" s="40">
        <f t="shared" si="0"/>
        <v>3</v>
      </c>
      <c r="B4" s="65" t="s">
        <v>179</v>
      </c>
      <c r="C4" s="42" t="s">
        <v>37</v>
      </c>
      <c r="D4" s="43" t="s">
        <v>182</v>
      </c>
      <c r="E4" s="46"/>
      <c r="F4" s="44"/>
      <c r="G4" s="41"/>
      <c r="H4" s="41"/>
      <c r="I4" s="44" t="s">
        <v>76</v>
      </c>
      <c r="J4" s="45" t="s">
        <v>37</v>
      </c>
    </row>
    <row r="5" spans="1:10" ht="21.75" customHeight="1">
      <c r="A5" s="40">
        <f t="shared" si="0"/>
        <v>4</v>
      </c>
      <c r="B5" s="66" t="s">
        <v>53</v>
      </c>
      <c r="C5" s="49" t="s">
        <v>37</v>
      </c>
      <c r="D5" s="43" t="s">
        <v>182</v>
      </c>
      <c r="E5" s="46"/>
      <c r="F5" s="44"/>
      <c r="G5" s="41"/>
      <c r="H5" s="41"/>
      <c r="I5" s="44" t="s">
        <v>76</v>
      </c>
      <c r="J5" s="45" t="s">
        <v>37</v>
      </c>
    </row>
    <row r="6" spans="1:10" ht="21.75" customHeight="1">
      <c r="A6" s="40">
        <f t="shared" si="0"/>
        <v>5</v>
      </c>
      <c r="B6" s="65" t="s">
        <v>62</v>
      </c>
      <c r="C6" s="49" t="s">
        <v>37</v>
      </c>
      <c r="D6" s="43" t="s">
        <v>182</v>
      </c>
      <c r="E6" s="46"/>
      <c r="F6" s="44"/>
      <c r="G6" s="41"/>
      <c r="H6" s="41"/>
      <c r="I6" s="44" t="s">
        <v>76</v>
      </c>
      <c r="J6" s="45" t="s">
        <v>37</v>
      </c>
    </row>
    <row r="7" spans="1:10" ht="21.75" customHeight="1">
      <c r="A7" s="40">
        <f t="shared" si="0"/>
        <v>6</v>
      </c>
      <c r="B7" s="65" t="s">
        <v>125</v>
      </c>
      <c r="C7" s="42" t="s">
        <v>37</v>
      </c>
      <c r="D7" s="43" t="s">
        <v>182</v>
      </c>
      <c r="E7" s="46" t="s">
        <v>186</v>
      </c>
      <c r="F7" s="44"/>
      <c r="G7" s="41"/>
      <c r="H7" s="41"/>
      <c r="I7" s="44" t="s">
        <v>76</v>
      </c>
      <c r="J7" s="45" t="s">
        <v>37</v>
      </c>
    </row>
    <row r="8" spans="1:10" ht="21.75" customHeight="1">
      <c r="A8" s="40">
        <f t="shared" si="0"/>
        <v>7</v>
      </c>
      <c r="B8" s="65" t="s">
        <v>188</v>
      </c>
      <c r="C8" s="42" t="s">
        <v>37</v>
      </c>
      <c r="D8" s="43" t="s">
        <v>187</v>
      </c>
      <c r="E8" s="46"/>
      <c r="F8" s="44"/>
      <c r="G8" s="41"/>
      <c r="H8" s="41"/>
      <c r="I8" s="44" t="s">
        <v>76</v>
      </c>
      <c r="J8" s="45" t="s">
        <v>37</v>
      </c>
    </row>
    <row r="9" spans="1:10" ht="21.75" customHeight="1">
      <c r="A9" s="40">
        <f t="shared" si="0"/>
        <v>8</v>
      </c>
      <c r="B9" s="65" t="s">
        <v>706</v>
      </c>
      <c r="C9" s="42" t="s">
        <v>37</v>
      </c>
      <c r="D9" s="43" t="s">
        <v>110</v>
      </c>
      <c r="E9" s="46"/>
      <c r="F9" s="44"/>
      <c r="G9" s="41"/>
      <c r="H9" s="41"/>
      <c r="I9" s="44" t="s">
        <v>76</v>
      </c>
      <c r="J9" s="45" t="s">
        <v>37</v>
      </c>
    </row>
    <row r="10" spans="1:10" ht="21.75" customHeight="1">
      <c r="A10" s="40">
        <f t="shared" si="0"/>
        <v>9</v>
      </c>
      <c r="B10" s="65" t="s">
        <v>92</v>
      </c>
      <c r="C10" s="42" t="s">
        <v>37</v>
      </c>
      <c r="D10" s="43" t="s">
        <v>187</v>
      </c>
      <c r="E10" s="46"/>
      <c r="F10" s="44"/>
      <c r="G10" s="41"/>
      <c r="H10" s="41"/>
      <c r="I10" s="44" t="s">
        <v>76</v>
      </c>
      <c r="J10" s="45" t="s">
        <v>37</v>
      </c>
    </row>
    <row r="11" spans="1:10" ht="21.75" customHeight="1">
      <c r="A11" s="40">
        <f t="shared" si="0"/>
        <v>10</v>
      </c>
      <c r="B11" s="65" t="s">
        <v>72</v>
      </c>
      <c r="C11" s="42" t="s">
        <v>37</v>
      </c>
      <c r="D11" s="43" t="s">
        <v>187</v>
      </c>
      <c r="E11" s="46" t="s">
        <v>710</v>
      </c>
      <c r="F11" s="44"/>
      <c r="G11" s="41"/>
      <c r="H11" s="41"/>
      <c r="I11" s="44" t="s">
        <v>76</v>
      </c>
      <c r="J11" s="45" t="s">
        <v>37</v>
      </c>
    </row>
    <row r="12" spans="1:10" ht="21.75" customHeight="1">
      <c r="A12" s="40">
        <f t="shared" si="0"/>
        <v>11</v>
      </c>
      <c r="B12" s="65" t="s">
        <v>707</v>
      </c>
      <c r="C12" s="42" t="s">
        <v>37</v>
      </c>
      <c r="D12" s="43" t="s">
        <v>190</v>
      </c>
      <c r="E12" s="46" t="s">
        <v>708</v>
      </c>
      <c r="F12" s="44"/>
      <c r="G12" s="41"/>
      <c r="H12" s="41"/>
      <c r="I12" s="44" t="s">
        <v>76</v>
      </c>
      <c r="J12" s="45" t="s">
        <v>37</v>
      </c>
    </row>
    <row r="13" spans="1:10" ht="21.75" customHeight="1">
      <c r="A13" s="40">
        <f t="shared" si="0"/>
        <v>12</v>
      </c>
      <c r="B13" s="65" t="s">
        <v>74</v>
      </c>
      <c r="C13" s="42" t="s">
        <v>37</v>
      </c>
      <c r="D13" s="43" t="s">
        <v>110</v>
      </c>
      <c r="E13" s="46" t="s">
        <v>711</v>
      </c>
      <c r="F13" s="44"/>
      <c r="G13" s="41"/>
      <c r="H13" s="41"/>
      <c r="I13" s="44" t="s">
        <v>76</v>
      </c>
      <c r="J13" s="45" t="s">
        <v>37</v>
      </c>
    </row>
    <row r="14" spans="1:10" ht="21.75" customHeight="1">
      <c r="A14" s="40">
        <f t="shared" si="0"/>
        <v>13</v>
      </c>
      <c r="B14" s="65" t="s">
        <v>91</v>
      </c>
      <c r="C14" s="40" t="s">
        <v>37</v>
      </c>
      <c r="D14" s="43" t="s">
        <v>182</v>
      </c>
      <c r="E14" s="46" t="s">
        <v>709</v>
      </c>
      <c r="F14" s="44"/>
      <c r="G14" s="41"/>
      <c r="H14" s="41"/>
      <c r="I14" s="44" t="s">
        <v>76</v>
      </c>
      <c r="J14" s="45" t="s">
        <v>37</v>
      </c>
    </row>
    <row r="15" spans="1:10" ht="21.75" customHeight="1">
      <c r="A15" s="40">
        <f t="shared" si="0"/>
        <v>14</v>
      </c>
      <c r="B15" s="66" t="s">
        <v>127</v>
      </c>
      <c r="C15" s="61" t="s">
        <v>37</v>
      </c>
      <c r="D15" s="43" t="s">
        <v>182</v>
      </c>
      <c r="E15" s="46" t="s">
        <v>184</v>
      </c>
      <c r="F15" s="44"/>
      <c r="G15" s="41"/>
      <c r="H15" s="41"/>
      <c r="I15" s="44" t="s">
        <v>76</v>
      </c>
      <c r="J15" s="45" t="s">
        <v>37</v>
      </c>
    </row>
    <row r="16" spans="1:10" ht="21.75" customHeight="1">
      <c r="A16" s="40">
        <f t="shared" si="0"/>
        <v>15</v>
      </c>
      <c r="B16" s="67" t="s">
        <v>126</v>
      </c>
      <c r="C16" s="43" t="s">
        <v>37</v>
      </c>
      <c r="D16" s="43" t="s">
        <v>182</v>
      </c>
      <c r="E16" s="46"/>
      <c r="F16" s="44"/>
      <c r="G16" s="41"/>
      <c r="H16" s="41"/>
      <c r="I16" s="44" t="s">
        <v>76</v>
      </c>
      <c r="J16" s="45" t="s">
        <v>37</v>
      </c>
    </row>
    <row r="17" spans="1:11" ht="27" customHeight="1">
      <c r="A17" s="40">
        <f t="shared" si="0"/>
        <v>16</v>
      </c>
      <c r="B17" s="67" t="s">
        <v>177</v>
      </c>
      <c r="C17" s="43" t="s">
        <v>37</v>
      </c>
      <c r="D17" s="43" t="s">
        <v>185</v>
      </c>
      <c r="E17" s="46"/>
      <c r="F17" s="44"/>
      <c r="G17" s="41"/>
      <c r="H17" s="41"/>
      <c r="I17" s="44" t="s">
        <v>76</v>
      </c>
      <c r="J17" s="45" t="s">
        <v>37</v>
      </c>
    </row>
    <row r="18" spans="1:11" ht="27" customHeight="1">
      <c r="A18" s="40">
        <f t="shared" si="0"/>
        <v>17</v>
      </c>
      <c r="B18" s="65" t="s">
        <v>713</v>
      </c>
      <c r="C18" s="42" t="s">
        <v>37</v>
      </c>
      <c r="D18" s="43" t="s">
        <v>714</v>
      </c>
      <c r="E18" s="46"/>
      <c r="F18" s="44"/>
      <c r="G18" s="41"/>
      <c r="H18" s="41"/>
      <c r="I18" s="44" t="s">
        <v>76</v>
      </c>
      <c r="J18" s="45" t="s">
        <v>37</v>
      </c>
    </row>
    <row r="19" spans="1:11" ht="27" customHeight="1">
      <c r="A19" s="40" t="str">
        <f t="shared" si="0"/>
        <v/>
      </c>
      <c r="B19" s="65"/>
      <c r="C19" s="42"/>
      <c r="D19" s="43"/>
      <c r="E19" s="46"/>
      <c r="F19" s="44"/>
      <c r="G19" s="41"/>
      <c r="H19" s="41"/>
      <c r="I19" s="44" t="s">
        <v>76</v>
      </c>
      <c r="J19" s="45" t="s">
        <v>37</v>
      </c>
    </row>
    <row r="20" spans="1:11" ht="27" customHeight="1">
      <c r="A20" s="40" t="str">
        <f t="shared" si="0"/>
        <v/>
      </c>
      <c r="B20" s="65"/>
      <c r="C20" s="42"/>
      <c r="D20" s="43"/>
      <c r="E20" s="46"/>
      <c r="F20" s="44"/>
      <c r="G20" s="41"/>
      <c r="H20" s="41"/>
      <c r="I20" s="44"/>
      <c r="J20" s="45" t="s">
        <v>37</v>
      </c>
    </row>
    <row r="21" spans="1:11" ht="27" customHeight="1">
      <c r="A21" s="40" t="str">
        <f t="shared" si="0"/>
        <v/>
      </c>
      <c r="B21" s="65"/>
      <c r="C21" s="42"/>
      <c r="D21" s="43"/>
      <c r="E21" s="47"/>
      <c r="F21" s="44"/>
      <c r="G21" s="41"/>
      <c r="H21" s="41"/>
      <c r="I21" s="44"/>
      <c r="J21" s="45" t="s">
        <v>37</v>
      </c>
    </row>
    <row r="22" spans="1:11" ht="27" customHeight="1">
      <c r="A22" s="40" t="str">
        <f t="shared" si="0"/>
        <v/>
      </c>
      <c r="B22" s="65"/>
      <c r="C22" s="42"/>
      <c r="D22" s="43"/>
      <c r="E22" s="50"/>
      <c r="F22" s="44"/>
      <c r="G22" s="41"/>
      <c r="H22" s="41"/>
      <c r="I22" s="44"/>
      <c r="J22" s="45" t="s">
        <v>37</v>
      </c>
    </row>
    <row r="23" spans="1:11" ht="27" customHeight="1">
      <c r="A23" s="40" t="str">
        <f t="shared" si="0"/>
        <v/>
      </c>
      <c r="B23" s="65"/>
      <c r="C23" s="42"/>
      <c r="D23" s="43"/>
      <c r="E23" s="51"/>
      <c r="F23" s="44"/>
      <c r="G23" s="41"/>
      <c r="H23" s="41"/>
      <c r="I23" s="44"/>
      <c r="J23" s="45" t="s">
        <v>37</v>
      </c>
    </row>
    <row r="24" spans="1:11" ht="27" customHeight="1">
      <c r="A24" s="40" t="str">
        <f t="shared" si="0"/>
        <v/>
      </c>
      <c r="B24" s="65"/>
      <c r="C24" s="42"/>
      <c r="D24" s="43"/>
      <c r="E24" s="41"/>
      <c r="F24" s="44"/>
      <c r="G24" s="41"/>
      <c r="H24" s="41"/>
      <c r="I24" s="44"/>
      <c r="J24" s="45" t="s">
        <v>37</v>
      </c>
    </row>
    <row r="25" spans="1:11" ht="27" customHeight="1">
      <c r="A25" s="40" t="str">
        <f t="shared" si="0"/>
        <v/>
      </c>
      <c r="B25" s="66"/>
      <c r="C25" s="49"/>
      <c r="D25" s="43"/>
      <c r="E25" s="41"/>
      <c r="F25" s="44"/>
      <c r="G25" s="41"/>
      <c r="H25" s="41"/>
      <c r="I25" s="44"/>
      <c r="J25" s="45" t="s">
        <v>37</v>
      </c>
    </row>
    <row r="26" spans="1:11" s="41" customFormat="1" ht="27" customHeight="1">
      <c r="A26" s="40" t="str">
        <f t="shared" si="0"/>
        <v/>
      </c>
      <c r="B26" s="65"/>
      <c r="C26" s="49"/>
      <c r="D26" s="43"/>
      <c r="F26" s="44"/>
      <c r="I26" s="44"/>
      <c r="J26" s="45" t="s">
        <v>37</v>
      </c>
      <c r="K26" s="52"/>
    </row>
    <row r="27" spans="1:11" s="41" customFormat="1" ht="27" customHeight="1">
      <c r="A27" s="40" t="str">
        <f t="shared" si="0"/>
        <v/>
      </c>
      <c r="B27" s="65"/>
      <c r="C27" s="42"/>
      <c r="D27" s="43"/>
      <c r="F27" s="44"/>
      <c r="I27" s="44"/>
      <c r="J27" s="45" t="s">
        <v>37</v>
      </c>
      <c r="K27" s="52"/>
    </row>
    <row r="28" spans="1:11" s="41" customFormat="1" ht="27" customHeight="1">
      <c r="A28" s="40" t="str">
        <f t="shared" si="0"/>
        <v/>
      </c>
      <c r="B28" s="65"/>
      <c r="C28" s="42"/>
      <c r="D28" s="43"/>
      <c r="F28" s="44"/>
      <c r="I28" s="44"/>
      <c r="J28" s="45" t="s">
        <v>37</v>
      </c>
      <c r="K28" s="52"/>
    </row>
    <row r="29" spans="1:11" s="41" customFormat="1" ht="27" customHeight="1">
      <c r="A29" s="40" t="str">
        <f t="shared" si="0"/>
        <v/>
      </c>
      <c r="B29" s="65"/>
      <c r="C29" s="42"/>
      <c r="D29" s="43"/>
      <c r="F29" s="44"/>
      <c r="I29" s="44"/>
      <c r="J29" s="45" t="s">
        <v>37</v>
      </c>
      <c r="K29" s="52"/>
    </row>
    <row r="30" spans="1:11" s="41" customFormat="1" ht="27" customHeight="1">
      <c r="A30" s="40" t="str">
        <f t="shared" si="0"/>
        <v/>
      </c>
      <c r="B30" s="65"/>
      <c r="C30" s="42"/>
      <c r="D30" s="43"/>
      <c r="F30" s="44"/>
      <c r="I30" s="44"/>
      <c r="J30" s="45" t="s">
        <v>37</v>
      </c>
      <c r="K30" s="52"/>
    </row>
    <row r="31" spans="1:11" s="41" customFormat="1" ht="27" customHeight="1">
      <c r="A31" s="40" t="str">
        <f t="shared" si="0"/>
        <v/>
      </c>
      <c r="B31" s="65"/>
      <c r="C31" s="42"/>
      <c r="D31" s="43"/>
      <c r="F31" s="44"/>
      <c r="I31" s="44"/>
      <c r="J31" s="45" t="s">
        <v>37</v>
      </c>
      <c r="K31" s="52"/>
    </row>
    <row r="32" spans="1:11" s="41" customFormat="1" ht="27" customHeight="1">
      <c r="A32" s="40" t="str">
        <f t="shared" si="0"/>
        <v/>
      </c>
      <c r="B32" s="65"/>
      <c r="C32" s="42"/>
      <c r="D32" s="43"/>
      <c r="F32" s="44"/>
      <c r="I32" s="44"/>
      <c r="J32" s="45" t="s">
        <v>37</v>
      </c>
      <c r="K32" s="52"/>
    </row>
    <row r="33" spans="1:11" s="41" customFormat="1" ht="27" customHeight="1">
      <c r="A33" s="40" t="str">
        <f t="shared" si="0"/>
        <v/>
      </c>
      <c r="B33" s="65"/>
      <c r="C33" s="42"/>
      <c r="D33" s="43"/>
      <c r="F33" s="44"/>
      <c r="I33" s="44"/>
      <c r="J33" s="45" t="s">
        <v>37</v>
      </c>
      <c r="K33" s="52"/>
    </row>
    <row r="34" spans="1:11" s="41" customFormat="1" ht="27" customHeight="1">
      <c r="A34" s="40" t="str">
        <f t="shared" si="0"/>
        <v/>
      </c>
      <c r="B34" s="65"/>
      <c r="C34" s="42"/>
      <c r="D34" s="43"/>
      <c r="E34" s="48"/>
      <c r="F34" s="44"/>
      <c r="H34" s="48"/>
      <c r="I34" s="63"/>
      <c r="J34" s="64" t="s">
        <v>37</v>
      </c>
      <c r="K34" s="52"/>
    </row>
    <row r="35" spans="1:11" ht="27" customHeight="1">
      <c r="A35" s="40" t="str">
        <f t="shared" si="0"/>
        <v/>
      </c>
      <c r="B35" s="65"/>
      <c r="C35" s="42"/>
      <c r="D35" s="43"/>
      <c r="E35" s="50"/>
      <c r="F35" s="44"/>
      <c r="G35" s="41"/>
      <c r="H35" s="50"/>
      <c r="I35" s="50"/>
      <c r="J35" s="45" t="s">
        <v>37</v>
      </c>
    </row>
    <row r="36" spans="1:11" ht="27" customHeight="1">
      <c r="A36" s="40" t="str">
        <f t="shared" si="0"/>
        <v/>
      </c>
      <c r="B36" s="65"/>
      <c r="C36" s="40"/>
      <c r="D36" s="43"/>
      <c r="E36" s="50"/>
      <c r="F36" s="44"/>
      <c r="G36" s="41"/>
      <c r="H36" s="50"/>
      <c r="I36" s="50"/>
      <c r="J36" s="45" t="s">
        <v>37</v>
      </c>
    </row>
    <row r="37" spans="1:11" ht="27.75" customHeight="1">
      <c r="A37" s="40" t="str">
        <f t="shared" si="0"/>
        <v/>
      </c>
      <c r="B37" s="66"/>
      <c r="C37" s="61"/>
      <c r="D37" s="43"/>
      <c r="E37" s="50"/>
      <c r="F37" s="44"/>
      <c r="G37" s="41"/>
      <c r="H37" s="50"/>
      <c r="I37" s="50"/>
      <c r="J37" s="45" t="s">
        <v>37</v>
      </c>
    </row>
    <row r="38" spans="1:11" ht="27.75" customHeight="1">
      <c r="A38" s="40" t="str">
        <f t="shared" si="0"/>
        <v/>
      </c>
      <c r="B38" s="67"/>
      <c r="C38" s="43"/>
      <c r="D38" s="43"/>
      <c r="E38" s="50"/>
      <c r="F38" s="44"/>
      <c r="G38" s="41"/>
      <c r="H38" s="50"/>
      <c r="I38" s="50"/>
      <c r="J38" s="45" t="s">
        <v>37</v>
      </c>
    </row>
    <row r="39" spans="1:11" ht="27.75" customHeight="1">
      <c r="A39" s="40" t="str">
        <f t="shared" si="0"/>
        <v/>
      </c>
      <c r="B39" s="67"/>
      <c r="C39" s="43"/>
      <c r="D39" s="43"/>
      <c r="E39" s="50"/>
      <c r="F39" s="44"/>
      <c r="G39" s="41"/>
      <c r="H39" s="50"/>
      <c r="I39" s="50"/>
      <c r="J39" s="45" t="s">
        <v>37</v>
      </c>
    </row>
  </sheetData>
  <conditionalFormatting sqref="D1:D1048576">
    <cfRule type="cellIs" dxfId="3" priority="1" operator="equal">
      <formula>"Not started"</formula>
    </cfRule>
    <cfRule type="cellIs" dxfId="2" priority="2" operator="equal">
      <formula>"Completed"</formula>
    </cfRule>
  </conditionalFormatting>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Notice" error="Value is unlisted">
          <x14:formula1>
            <xm:f>Categories!$A$2:$A$17</xm:f>
          </x14:formula1>
          <xm:sqref>D2:D39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C199"/>
  <sheetViews>
    <sheetView topLeftCell="A100" workbookViewId="0">
      <selection activeCell="B14" sqref="B14"/>
    </sheetView>
  </sheetViews>
  <sheetFormatPr defaultRowHeight="14.25"/>
  <cols>
    <col min="1" max="1" width="9" style="107"/>
    <col min="2" max="2" width="52.625" style="107" customWidth="1"/>
    <col min="3" max="3" width="80.375" style="107" customWidth="1"/>
  </cols>
  <sheetData>
    <row r="1" spans="1:3">
      <c r="A1" s="85" t="s">
        <v>191</v>
      </c>
      <c r="B1" s="85" t="s">
        <v>666</v>
      </c>
      <c r="C1" s="85" t="s">
        <v>192</v>
      </c>
    </row>
    <row r="2" spans="1:3">
      <c r="A2" s="108">
        <v>4</v>
      </c>
      <c r="B2" s="109" t="s">
        <v>667</v>
      </c>
      <c r="C2" s="109" t="s">
        <v>37</v>
      </c>
    </row>
    <row r="3" spans="1:3">
      <c r="A3" s="110">
        <v>4.0999999999999996</v>
      </c>
      <c r="B3" s="111" t="s">
        <v>668</v>
      </c>
      <c r="C3" s="111" t="s">
        <v>37</v>
      </c>
    </row>
    <row r="4" spans="1:3">
      <c r="A4" s="110">
        <v>4.2</v>
      </c>
      <c r="B4" s="111" t="s">
        <v>669</v>
      </c>
      <c r="C4" s="111" t="s">
        <v>37</v>
      </c>
    </row>
    <row r="5" spans="1:3" ht="16.5" customHeight="1">
      <c r="A5" s="110">
        <v>4.3</v>
      </c>
      <c r="B5" s="111" t="s">
        <v>670</v>
      </c>
      <c r="C5" s="111" t="s">
        <v>37</v>
      </c>
    </row>
    <row r="6" spans="1:3">
      <c r="A6" s="110">
        <v>4.4000000000000004</v>
      </c>
      <c r="B6" s="111" t="s">
        <v>671</v>
      </c>
      <c r="C6" s="111" t="s">
        <v>37</v>
      </c>
    </row>
    <row r="7" spans="1:3">
      <c r="A7" s="108">
        <v>5</v>
      </c>
      <c r="B7" s="109" t="s">
        <v>672</v>
      </c>
      <c r="C7" s="109" t="s">
        <v>37</v>
      </c>
    </row>
    <row r="8" spans="1:3">
      <c r="A8" s="110">
        <v>5.0999999999999996</v>
      </c>
      <c r="B8" s="111" t="s">
        <v>673</v>
      </c>
      <c r="C8" s="111" t="s">
        <v>37</v>
      </c>
    </row>
    <row r="9" spans="1:3">
      <c r="A9" s="110">
        <v>5.2</v>
      </c>
      <c r="B9" s="111" t="s">
        <v>674</v>
      </c>
      <c r="C9" s="111" t="s">
        <v>37</v>
      </c>
    </row>
    <row r="10" spans="1:3">
      <c r="A10" s="110">
        <v>5.3</v>
      </c>
      <c r="B10" s="111" t="s">
        <v>675</v>
      </c>
      <c r="C10" s="111" t="s">
        <v>37</v>
      </c>
    </row>
    <row r="11" spans="1:3">
      <c r="A11" s="108">
        <v>6</v>
      </c>
      <c r="B11" s="109" t="s">
        <v>676</v>
      </c>
      <c r="C11" s="109" t="s">
        <v>37</v>
      </c>
    </row>
    <row r="12" spans="1:3">
      <c r="A12" s="112">
        <v>6.1</v>
      </c>
      <c r="B12" s="113" t="s">
        <v>677</v>
      </c>
      <c r="C12" s="113" t="s">
        <v>37</v>
      </c>
    </row>
    <row r="13" spans="1:3">
      <c r="A13" s="110" t="s">
        <v>678</v>
      </c>
      <c r="B13" s="111" t="s">
        <v>679</v>
      </c>
      <c r="C13" s="111" t="s">
        <v>37</v>
      </c>
    </row>
    <row r="14" spans="1:3">
      <c r="A14" s="110" t="s">
        <v>680</v>
      </c>
      <c r="B14" s="111" t="s">
        <v>681</v>
      </c>
      <c r="C14" s="111" t="s">
        <v>37</v>
      </c>
    </row>
    <row r="15" spans="1:3">
      <c r="A15" s="110" t="s">
        <v>682</v>
      </c>
      <c r="B15" s="111" t="s">
        <v>683</v>
      </c>
      <c r="C15" s="111" t="s">
        <v>37</v>
      </c>
    </row>
    <row r="16" spans="1:3">
      <c r="A16" s="110">
        <v>6.2</v>
      </c>
      <c r="B16" s="111" t="s">
        <v>684</v>
      </c>
      <c r="C16" s="111" t="s">
        <v>37</v>
      </c>
    </row>
    <row r="17" spans="1:3">
      <c r="A17" s="108">
        <v>7</v>
      </c>
      <c r="B17" s="109" t="s">
        <v>685</v>
      </c>
      <c r="C17" s="109" t="s">
        <v>37</v>
      </c>
    </row>
    <row r="18" spans="1:3">
      <c r="A18" s="110">
        <v>7.1</v>
      </c>
      <c r="B18" s="111" t="s">
        <v>686</v>
      </c>
      <c r="C18" s="111" t="s">
        <v>37</v>
      </c>
    </row>
    <row r="19" spans="1:3">
      <c r="A19" s="110">
        <v>7.2</v>
      </c>
      <c r="B19" s="111" t="s">
        <v>687</v>
      </c>
      <c r="C19" s="111" t="s">
        <v>37</v>
      </c>
    </row>
    <row r="20" spans="1:3">
      <c r="A20" s="110">
        <v>7.3</v>
      </c>
      <c r="B20" s="111" t="s">
        <v>688</v>
      </c>
      <c r="C20" s="111" t="s">
        <v>37</v>
      </c>
    </row>
    <row r="21" spans="1:3">
      <c r="A21" s="110">
        <v>7.4</v>
      </c>
      <c r="B21" s="111" t="s">
        <v>689</v>
      </c>
      <c r="C21" s="111" t="s">
        <v>37</v>
      </c>
    </row>
    <row r="22" spans="1:3">
      <c r="A22" s="108">
        <v>7.5</v>
      </c>
      <c r="B22" s="109" t="s">
        <v>690</v>
      </c>
      <c r="C22" s="109" t="s">
        <v>37</v>
      </c>
    </row>
    <row r="23" spans="1:3">
      <c r="A23" s="110" t="s">
        <v>691</v>
      </c>
      <c r="B23" s="111" t="s">
        <v>679</v>
      </c>
      <c r="C23" s="111" t="s">
        <v>37</v>
      </c>
    </row>
    <row r="24" spans="1:3">
      <c r="A24" s="110" t="s">
        <v>692</v>
      </c>
      <c r="B24" s="111" t="s">
        <v>693</v>
      </c>
      <c r="C24" s="111" t="s">
        <v>37</v>
      </c>
    </row>
    <row r="25" spans="1:3">
      <c r="A25" s="110" t="s">
        <v>694</v>
      </c>
      <c r="B25" s="111" t="s">
        <v>695</v>
      </c>
      <c r="C25" s="111" t="s">
        <v>37</v>
      </c>
    </row>
    <row r="26" spans="1:3">
      <c r="A26" s="108">
        <v>8</v>
      </c>
      <c r="B26" s="109" t="s">
        <v>696</v>
      </c>
      <c r="C26" s="109" t="s">
        <v>37</v>
      </c>
    </row>
    <row r="27" spans="1:3">
      <c r="A27" s="110">
        <v>8.1</v>
      </c>
      <c r="B27" s="111" t="s">
        <v>697</v>
      </c>
      <c r="C27" s="111" t="s">
        <v>37</v>
      </c>
    </row>
    <row r="28" spans="1:3">
      <c r="A28" s="110">
        <v>8.1999999999999993</v>
      </c>
      <c r="B28" s="111" t="s">
        <v>681</v>
      </c>
      <c r="C28" s="111" t="s">
        <v>37</v>
      </c>
    </row>
    <row r="29" spans="1:3">
      <c r="A29" s="110">
        <v>8.3000000000000007</v>
      </c>
      <c r="B29" s="111" t="s">
        <v>683</v>
      </c>
      <c r="C29" s="111" t="s">
        <v>37</v>
      </c>
    </row>
    <row r="30" spans="1:3">
      <c r="A30" s="108">
        <v>9</v>
      </c>
      <c r="B30" s="109" t="s">
        <v>698</v>
      </c>
      <c r="C30" s="109" t="s">
        <v>37</v>
      </c>
    </row>
    <row r="31" spans="1:3">
      <c r="A31" s="110">
        <v>9.1</v>
      </c>
      <c r="B31" s="111" t="s">
        <v>699</v>
      </c>
      <c r="C31" s="111" t="s">
        <v>37</v>
      </c>
    </row>
    <row r="32" spans="1:3">
      <c r="A32" s="110">
        <v>9.1999999999999993</v>
      </c>
      <c r="B32" s="111" t="s">
        <v>700</v>
      </c>
      <c r="C32" s="111" t="s">
        <v>37</v>
      </c>
    </row>
    <row r="33" spans="1:3">
      <c r="A33" s="110">
        <v>9.3000000000000007</v>
      </c>
      <c r="B33" s="111" t="s">
        <v>701</v>
      </c>
      <c r="C33" s="111" t="s">
        <v>37</v>
      </c>
    </row>
    <row r="34" spans="1:3">
      <c r="A34" s="108">
        <v>10</v>
      </c>
      <c r="B34" s="109" t="s">
        <v>702</v>
      </c>
      <c r="C34" s="109" t="s">
        <v>37</v>
      </c>
    </row>
    <row r="35" spans="1:3">
      <c r="A35" s="110">
        <v>10.1</v>
      </c>
      <c r="B35" s="111" t="s">
        <v>703</v>
      </c>
      <c r="C35" s="111" t="s">
        <v>37</v>
      </c>
    </row>
    <row r="36" spans="1:3">
      <c r="A36" s="114">
        <v>10.199999999999999</v>
      </c>
      <c r="B36" s="115" t="s">
        <v>704</v>
      </c>
      <c r="C36" s="111" t="s">
        <v>37</v>
      </c>
    </row>
    <row r="37" spans="1:3">
      <c r="A37" s="86" t="s">
        <v>193</v>
      </c>
      <c r="B37" s="87" t="s">
        <v>194</v>
      </c>
      <c r="C37" s="88"/>
    </row>
    <row r="38" spans="1:3" ht="25.5">
      <c r="A38" s="89" t="s">
        <v>195</v>
      </c>
      <c r="B38" s="89" t="s">
        <v>196</v>
      </c>
      <c r="C38" s="90" t="s">
        <v>197</v>
      </c>
    </row>
    <row r="39" spans="1:3" ht="25.5">
      <c r="A39" s="91" t="s">
        <v>198</v>
      </c>
      <c r="B39" s="91" t="s">
        <v>199</v>
      </c>
      <c r="C39" s="92" t="s">
        <v>200</v>
      </c>
    </row>
    <row r="40" spans="1:3" ht="25.5">
      <c r="A40" s="91" t="s">
        <v>201</v>
      </c>
      <c r="B40" s="91" t="s">
        <v>202</v>
      </c>
      <c r="C40" s="92" t="s">
        <v>203</v>
      </c>
    </row>
    <row r="41" spans="1:3">
      <c r="A41" s="86" t="s">
        <v>204</v>
      </c>
      <c r="B41" s="87" t="s">
        <v>205</v>
      </c>
      <c r="C41" s="93"/>
    </row>
    <row r="42" spans="1:3" ht="25.5">
      <c r="A42" s="89" t="s">
        <v>206</v>
      </c>
      <c r="B42" s="94" t="s">
        <v>207</v>
      </c>
      <c r="C42" s="90" t="s">
        <v>208</v>
      </c>
    </row>
    <row r="43" spans="1:3">
      <c r="A43" s="91" t="s">
        <v>209</v>
      </c>
      <c r="B43" s="91" t="s">
        <v>210</v>
      </c>
      <c r="C43" s="92" t="s">
        <v>211</v>
      </c>
    </row>
    <row r="44" spans="1:3" ht="25.5">
      <c r="A44" s="91" t="s">
        <v>212</v>
      </c>
      <c r="B44" s="91" t="s">
        <v>213</v>
      </c>
      <c r="C44" s="92" t="s">
        <v>214</v>
      </c>
    </row>
    <row r="45" spans="1:3">
      <c r="A45" s="91" t="s">
        <v>215</v>
      </c>
      <c r="B45" s="91" t="s">
        <v>216</v>
      </c>
      <c r="C45" s="92" t="s">
        <v>217</v>
      </c>
    </row>
    <row r="46" spans="1:3" ht="25.5">
      <c r="A46" s="91" t="s">
        <v>218</v>
      </c>
      <c r="B46" s="91" t="s">
        <v>219</v>
      </c>
      <c r="C46" s="92" t="s">
        <v>220</v>
      </c>
    </row>
    <row r="47" spans="1:3">
      <c r="A47" s="91" t="s">
        <v>221</v>
      </c>
      <c r="B47" s="91" t="s">
        <v>222</v>
      </c>
      <c r="C47" s="95" t="s">
        <v>223</v>
      </c>
    </row>
    <row r="48" spans="1:3">
      <c r="A48" s="96" t="s">
        <v>224</v>
      </c>
      <c r="B48" s="97" t="s">
        <v>225</v>
      </c>
      <c r="C48" s="98" t="s">
        <v>226</v>
      </c>
    </row>
    <row r="49" spans="1:3" ht="25.5">
      <c r="A49" s="91" t="s">
        <v>227</v>
      </c>
      <c r="B49" s="91" t="s">
        <v>228</v>
      </c>
      <c r="C49" s="99" t="s">
        <v>229</v>
      </c>
    </row>
    <row r="50" spans="1:3" ht="25.5">
      <c r="A50" s="91" t="s">
        <v>230</v>
      </c>
      <c r="B50" s="91" t="s">
        <v>231</v>
      </c>
      <c r="C50" s="99" t="s">
        <v>232</v>
      </c>
    </row>
    <row r="51" spans="1:3">
      <c r="A51" s="86" t="s">
        <v>233</v>
      </c>
      <c r="B51" s="87" t="s">
        <v>234</v>
      </c>
      <c r="C51" s="100"/>
    </row>
    <row r="52" spans="1:3" ht="25.5">
      <c r="A52" s="89" t="s">
        <v>235</v>
      </c>
      <c r="B52" s="94" t="s">
        <v>236</v>
      </c>
      <c r="C52" s="90" t="s">
        <v>237</v>
      </c>
    </row>
    <row r="53" spans="1:3" ht="38.25">
      <c r="A53" s="91" t="s">
        <v>238</v>
      </c>
      <c r="B53" s="91" t="s">
        <v>239</v>
      </c>
      <c r="C53" s="92" t="s">
        <v>240</v>
      </c>
    </row>
    <row r="54" spans="1:3" ht="25.5">
      <c r="A54" s="91" t="s">
        <v>241</v>
      </c>
      <c r="B54" s="91" t="s">
        <v>242</v>
      </c>
      <c r="C54" s="92" t="s">
        <v>243</v>
      </c>
    </row>
    <row r="55" spans="1:3" ht="25.5">
      <c r="A55" s="89" t="s">
        <v>244</v>
      </c>
      <c r="B55" s="94" t="s">
        <v>245</v>
      </c>
      <c r="C55" s="90" t="s">
        <v>246</v>
      </c>
    </row>
    <row r="56" spans="1:3" ht="25.5">
      <c r="A56" s="91" t="s">
        <v>247</v>
      </c>
      <c r="B56" s="91" t="s">
        <v>248</v>
      </c>
      <c r="C56" s="92" t="s">
        <v>249</v>
      </c>
    </row>
    <row r="57" spans="1:3" ht="38.25">
      <c r="A57" s="91" t="s">
        <v>250</v>
      </c>
      <c r="B57" s="91" t="s">
        <v>251</v>
      </c>
      <c r="C57" s="92" t="s">
        <v>252</v>
      </c>
    </row>
    <row r="58" spans="1:3" ht="25.5">
      <c r="A58" s="91" t="s">
        <v>253</v>
      </c>
      <c r="B58" s="91" t="s">
        <v>254</v>
      </c>
      <c r="C58" s="92" t="s">
        <v>255</v>
      </c>
    </row>
    <row r="59" spans="1:3" ht="25.5">
      <c r="A59" s="89" t="s">
        <v>256</v>
      </c>
      <c r="B59" s="94" t="s">
        <v>257</v>
      </c>
      <c r="C59" s="90" t="s">
        <v>258</v>
      </c>
    </row>
    <row r="60" spans="1:3" ht="25.5">
      <c r="A60" s="91" t="s">
        <v>259</v>
      </c>
      <c r="B60" s="91" t="s">
        <v>260</v>
      </c>
      <c r="C60" s="92" t="s">
        <v>261</v>
      </c>
    </row>
    <row r="61" spans="1:3">
      <c r="A61" s="86" t="s">
        <v>262</v>
      </c>
      <c r="B61" s="101" t="s">
        <v>263</v>
      </c>
      <c r="C61" s="102"/>
    </row>
    <row r="62" spans="1:3">
      <c r="A62" s="89" t="s">
        <v>264</v>
      </c>
      <c r="B62" s="94" t="s">
        <v>265</v>
      </c>
      <c r="C62" s="90" t="s">
        <v>266</v>
      </c>
    </row>
    <row r="63" spans="1:3" ht="25.5">
      <c r="A63" s="91" t="s">
        <v>267</v>
      </c>
      <c r="B63" s="91" t="s">
        <v>268</v>
      </c>
      <c r="C63" s="92" t="s">
        <v>269</v>
      </c>
    </row>
    <row r="64" spans="1:3">
      <c r="A64" s="91" t="s">
        <v>270</v>
      </c>
      <c r="B64" s="91" t="s">
        <v>271</v>
      </c>
      <c r="C64" s="92" t="s">
        <v>272</v>
      </c>
    </row>
    <row r="65" spans="1:3" ht="25.5">
      <c r="A65" s="91" t="s">
        <v>273</v>
      </c>
      <c r="B65" s="91" t="s">
        <v>274</v>
      </c>
      <c r="C65" s="92" t="s">
        <v>275</v>
      </c>
    </row>
    <row r="66" spans="1:3" ht="25.5">
      <c r="A66" s="91" t="s">
        <v>276</v>
      </c>
      <c r="B66" s="91" t="s">
        <v>277</v>
      </c>
      <c r="C66" s="92" t="s">
        <v>278</v>
      </c>
    </row>
    <row r="67" spans="1:3" ht="25.5">
      <c r="A67" s="89" t="s">
        <v>279</v>
      </c>
      <c r="B67" s="94" t="s">
        <v>280</v>
      </c>
      <c r="C67" s="90" t="s">
        <v>281</v>
      </c>
    </row>
    <row r="68" spans="1:3" ht="25.5">
      <c r="A68" s="91" t="s">
        <v>282</v>
      </c>
      <c r="B68" s="91" t="s">
        <v>283</v>
      </c>
      <c r="C68" s="92" t="s">
        <v>284</v>
      </c>
    </row>
    <row r="69" spans="1:3" ht="25.5">
      <c r="A69" s="91" t="s">
        <v>285</v>
      </c>
      <c r="B69" s="91" t="s">
        <v>286</v>
      </c>
      <c r="C69" s="92" t="s">
        <v>287</v>
      </c>
    </row>
    <row r="70" spans="1:3" ht="25.5">
      <c r="A70" s="91" t="s">
        <v>288</v>
      </c>
      <c r="B70" s="91" t="s">
        <v>289</v>
      </c>
      <c r="C70" s="92" t="s">
        <v>290</v>
      </c>
    </row>
    <row r="71" spans="1:3" ht="25.5">
      <c r="A71" s="89" t="s">
        <v>291</v>
      </c>
      <c r="B71" s="94" t="s">
        <v>292</v>
      </c>
      <c r="C71" s="90" t="s">
        <v>293</v>
      </c>
    </row>
    <row r="72" spans="1:3" ht="25.5">
      <c r="A72" s="91" t="s">
        <v>294</v>
      </c>
      <c r="B72" s="91" t="s">
        <v>295</v>
      </c>
      <c r="C72" s="92" t="s">
        <v>296</v>
      </c>
    </row>
    <row r="73" spans="1:3">
      <c r="A73" s="91" t="s">
        <v>297</v>
      </c>
      <c r="B73" s="91" t="s">
        <v>298</v>
      </c>
      <c r="C73" s="92" t="s">
        <v>299</v>
      </c>
    </row>
    <row r="74" spans="1:3" ht="25.5">
      <c r="A74" s="91" t="s">
        <v>300</v>
      </c>
      <c r="B74" s="91" t="s">
        <v>301</v>
      </c>
      <c r="C74" s="92" t="s">
        <v>302</v>
      </c>
    </row>
    <row r="75" spans="1:3">
      <c r="A75" s="86" t="s">
        <v>303</v>
      </c>
      <c r="B75" s="87" t="s">
        <v>304</v>
      </c>
      <c r="C75" s="102"/>
    </row>
    <row r="76" spans="1:3">
      <c r="A76" s="89" t="s">
        <v>305</v>
      </c>
      <c r="B76" s="94" t="s">
        <v>306</v>
      </c>
      <c r="C76" s="90" t="s">
        <v>307</v>
      </c>
    </row>
    <row r="77" spans="1:3" ht="25.5">
      <c r="A77" s="91" t="s">
        <v>308</v>
      </c>
      <c r="B77" s="91" t="s">
        <v>309</v>
      </c>
      <c r="C77" s="92" t="s">
        <v>310</v>
      </c>
    </row>
    <row r="78" spans="1:3" ht="25.5">
      <c r="A78" s="91" t="s">
        <v>311</v>
      </c>
      <c r="B78" s="91" t="s">
        <v>312</v>
      </c>
      <c r="C78" s="92" t="s">
        <v>313</v>
      </c>
    </row>
    <row r="79" spans="1:3" ht="25.5">
      <c r="A79" s="89" t="s">
        <v>314</v>
      </c>
      <c r="B79" s="94" t="s">
        <v>315</v>
      </c>
      <c r="C79" s="90" t="s">
        <v>316</v>
      </c>
    </row>
    <row r="80" spans="1:3" ht="25.5">
      <c r="A80" s="91" t="s">
        <v>317</v>
      </c>
      <c r="B80" s="91" t="s">
        <v>318</v>
      </c>
      <c r="C80" s="92" t="s">
        <v>319</v>
      </c>
    </row>
    <row r="81" spans="1:3" ht="25.5">
      <c r="A81" s="91" t="s">
        <v>320</v>
      </c>
      <c r="B81" s="91" t="s">
        <v>321</v>
      </c>
      <c r="C81" s="92" t="s">
        <v>322</v>
      </c>
    </row>
    <row r="82" spans="1:3">
      <c r="A82" s="91" t="s">
        <v>323</v>
      </c>
      <c r="B82" s="91" t="s">
        <v>324</v>
      </c>
      <c r="C82" s="92" t="s">
        <v>325</v>
      </c>
    </row>
    <row r="83" spans="1:3" ht="25.5">
      <c r="A83" s="91" t="s">
        <v>326</v>
      </c>
      <c r="B83" s="91" t="s">
        <v>327</v>
      </c>
      <c r="C83" s="92" t="s">
        <v>328</v>
      </c>
    </row>
    <row r="84" spans="1:3">
      <c r="A84" s="91" t="s">
        <v>329</v>
      </c>
      <c r="B84" s="91" t="s">
        <v>330</v>
      </c>
      <c r="C84" s="92" t="s">
        <v>331</v>
      </c>
    </row>
    <row r="85" spans="1:3" ht="38.25">
      <c r="A85" s="91" t="s">
        <v>332</v>
      </c>
      <c r="B85" s="91" t="s">
        <v>333</v>
      </c>
      <c r="C85" s="92" t="s">
        <v>334</v>
      </c>
    </row>
    <row r="86" spans="1:3">
      <c r="A86" s="96" t="s">
        <v>335</v>
      </c>
      <c r="B86" s="97" t="s">
        <v>336</v>
      </c>
      <c r="C86" s="98" t="s">
        <v>337</v>
      </c>
    </row>
    <row r="87" spans="1:3">
      <c r="A87" s="91" t="s">
        <v>338</v>
      </c>
      <c r="B87" s="91" t="s">
        <v>339</v>
      </c>
      <c r="C87" s="92" t="s">
        <v>340</v>
      </c>
    </row>
    <row r="88" spans="1:3">
      <c r="A88" s="89" t="s">
        <v>341</v>
      </c>
      <c r="B88" s="94" t="s">
        <v>342</v>
      </c>
      <c r="C88" s="90" t="s">
        <v>343</v>
      </c>
    </row>
    <row r="89" spans="1:3" ht="25.5">
      <c r="A89" s="91" t="s">
        <v>344</v>
      </c>
      <c r="B89" s="91" t="s">
        <v>345</v>
      </c>
      <c r="C89" s="92" t="s">
        <v>346</v>
      </c>
    </row>
    <row r="90" spans="1:3" ht="25.5">
      <c r="A90" s="91" t="s">
        <v>347</v>
      </c>
      <c r="B90" s="91" t="s">
        <v>348</v>
      </c>
      <c r="C90" s="92" t="s">
        <v>349</v>
      </c>
    </row>
    <row r="91" spans="1:3">
      <c r="A91" s="91" t="s">
        <v>350</v>
      </c>
      <c r="B91" s="91" t="s">
        <v>351</v>
      </c>
      <c r="C91" s="92" t="s">
        <v>352</v>
      </c>
    </row>
    <row r="92" spans="1:3" ht="25.5">
      <c r="A92" s="91" t="s">
        <v>353</v>
      </c>
      <c r="B92" s="91" t="s">
        <v>354</v>
      </c>
      <c r="C92" s="92" t="s">
        <v>355</v>
      </c>
    </row>
    <row r="93" spans="1:3">
      <c r="A93" s="91" t="s">
        <v>356</v>
      </c>
      <c r="B93" s="91" t="s">
        <v>357</v>
      </c>
      <c r="C93" s="92" t="s">
        <v>358</v>
      </c>
    </row>
    <row r="94" spans="1:3">
      <c r="A94" s="86" t="s">
        <v>359</v>
      </c>
      <c r="B94" s="87" t="s">
        <v>360</v>
      </c>
      <c r="C94" s="102"/>
    </row>
    <row r="95" spans="1:3" ht="25.5">
      <c r="A95" s="89" t="s">
        <v>361</v>
      </c>
      <c r="B95" s="94" t="s">
        <v>362</v>
      </c>
      <c r="C95" s="90" t="s">
        <v>363</v>
      </c>
    </row>
    <row r="96" spans="1:3" ht="25.5">
      <c r="A96" s="91" t="s">
        <v>364</v>
      </c>
      <c r="B96" s="103" t="s">
        <v>365</v>
      </c>
      <c r="C96" s="92" t="s">
        <v>366</v>
      </c>
    </row>
    <row r="97" spans="1:3" ht="25.5">
      <c r="A97" s="91" t="s">
        <v>367</v>
      </c>
      <c r="B97" s="103" t="s">
        <v>368</v>
      </c>
      <c r="C97" s="92" t="s">
        <v>369</v>
      </c>
    </row>
    <row r="98" spans="1:3">
      <c r="A98" s="86" t="s">
        <v>370</v>
      </c>
      <c r="B98" s="87" t="s">
        <v>371</v>
      </c>
      <c r="C98" s="102"/>
    </row>
    <row r="99" spans="1:3" ht="25.5">
      <c r="A99" s="89" t="s">
        <v>372</v>
      </c>
      <c r="B99" s="94" t="s">
        <v>373</v>
      </c>
      <c r="C99" s="90" t="s">
        <v>374</v>
      </c>
    </row>
    <row r="100" spans="1:3" ht="25.5">
      <c r="A100" s="91" t="s">
        <v>375</v>
      </c>
      <c r="B100" s="91" t="s">
        <v>376</v>
      </c>
      <c r="C100" s="92" t="s">
        <v>377</v>
      </c>
    </row>
    <row r="101" spans="1:3" ht="25.5">
      <c r="A101" s="91" t="s">
        <v>378</v>
      </c>
      <c r="B101" s="91" t="s">
        <v>379</v>
      </c>
      <c r="C101" s="92" t="s">
        <v>380</v>
      </c>
    </row>
    <row r="102" spans="1:3">
      <c r="A102" s="91" t="s">
        <v>381</v>
      </c>
      <c r="B102" s="91" t="s">
        <v>382</v>
      </c>
      <c r="C102" s="92" t="s">
        <v>383</v>
      </c>
    </row>
    <row r="103" spans="1:3">
      <c r="A103" s="91" t="s">
        <v>384</v>
      </c>
      <c r="B103" s="91" t="s">
        <v>385</v>
      </c>
      <c r="C103" s="92" t="s">
        <v>386</v>
      </c>
    </row>
    <row r="104" spans="1:3">
      <c r="A104" s="91" t="s">
        <v>387</v>
      </c>
      <c r="B104" s="91" t="s">
        <v>388</v>
      </c>
      <c r="C104" s="99" t="s">
        <v>389</v>
      </c>
    </row>
    <row r="105" spans="1:3" ht="38.25">
      <c r="A105" s="91" t="s">
        <v>390</v>
      </c>
      <c r="B105" s="91" t="s">
        <v>391</v>
      </c>
      <c r="C105" s="92" t="s">
        <v>392</v>
      </c>
    </row>
    <row r="106" spans="1:3" ht="25.5">
      <c r="A106" s="89" t="s">
        <v>393</v>
      </c>
      <c r="B106" s="94" t="s">
        <v>394</v>
      </c>
      <c r="C106" s="90" t="s">
        <v>395</v>
      </c>
    </row>
    <row r="107" spans="1:3" ht="25.5">
      <c r="A107" s="91" t="s">
        <v>396</v>
      </c>
      <c r="B107" s="91" t="s">
        <v>397</v>
      </c>
      <c r="C107" s="92" t="s">
        <v>398</v>
      </c>
    </row>
    <row r="108" spans="1:3" ht="25.5">
      <c r="A108" s="91" t="s">
        <v>399</v>
      </c>
      <c r="B108" s="91" t="s">
        <v>400</v>
      </c>
      <c r="C108" s="99" t="s">
        <v>401</v>
      </c>
    </row>
    <row r="109" spans="1:3" ht="25.5">
      <c r="A109" s="91" t="s">
        <v>402</v>
      </c>
      <c r="B109" s="91" t="s">
        <v>403</v>
      </c>
      <c r="C109" s="92" t="s">
        <v>404</v>
      </c>
    </row>
    <row r="110" spans="1:3">
      <c r="A110" s="91" t="s">
        <v>405</v>
      </c>
      <c r="B110" s="91" t="s">
        <v>406</v>
      </c>
      <c r="C110" s="92" t="s">
        <v>407</v>
      </c>
    </row>
    <row r="111" spans="1:3">
      <c r="A111" s="91" t="s">
        <v>408</v>
      </c>
      <c r="B111" s="91" t="s">
        <v>409</v>
      </c>
      <c r="C111" s="92" t="s">
        <v>410</v>
      </c>
    </row>
    <row r="112" spans="1:3" ht="25.5">
      <c r="A112" s="91" t="s">
        <v>411</v>
      </c>
      <c r="B112" s="91" t="s">
        <v>412</v>
      </c>
      <c r="C112" s="92" t="s">
        <v>413</v>
      </c>
    </row>
    <row r="113" spans="1:3" ht="25.5">
      <c r="A113" s="91" t="s">
        <v>414</v>
      </c>
      <c r="B113" s="91" t="s">
        <v>415</v>
      </c>
      <c r="C113" s="99" t="s">
        <v>416</v>
      </c>
    </row>
    <row r="114" spans="1:3">
      <c r="A114" s="91" t="s">
        <v>417</v>
      </c>
      <c r="B114" s="91" t="s">
        <v>418</v>
      </c>
      <c r="C114" s="99" t="s">
        <v>419</v>
      </c>
    </row>
    <row r="115" spans="1:3" ht="25.5">
      <c r="A115" s="91" t="s">
        <v>420</v>
      </c>
      <c r="B115" s="91" t="s">
        <v>421</v>
      </c>
      <c r="C115" s="99" t="s">
        <v>422</v>
      </c>
    </row>
    <row r="116" spans="1:3">
      <c r="A116" s="86" t="s">
        <v>423</v>
      </c>
      <c r="B116" s="87" t="s">
        <v>424</v>
      </c>
      <c r="C116" s="102"/>
    </row>
    <row r="117" spans="1:3">
      <c r="A117" s="89" t="s">
        <v>425</v>
      </c>
      <c r="B117" s="94" t="s">
        <v>426</v>
      </c>
      <c r="C117" s="90" t="s">
        <v>427</v>
      </c>
    </row>
    <row r="118" spans="1:3">
      <c r="A118" s="91" t="s">
        <v>428</v>
      </c>
      <c r="B118" s="103" t="s">
        <v>429</v>
      </c>
      <c r="C118" s="99" t="s">
        <v>430</v>
      </c>
    </row>
    <row r="119" spans="1:3" ht="25.5">
      <c r="A119" s="91" t="s">
        <v>431</v>
      </c>
      <c r="B119" s="103" t="s">
        <v>432</v>
      </c>
      <c r="C119" s="99" t="s">
        <v>433</v>
      </c>
    </row>
    <row r="120" spans="1:3" ht="25.5">
      <c r="A120" s="91" t="s">
        <v>434</v>
      </c>
      <c r="B120" s="103" t="s">
        <v>435</v>
      </c>
      <c r="C120" s="99" t="s">
        <v>436</v>
      </c>
    </row>
    <row r="121" spans="1:3" ht="25.5">
      <c r="A121" s="91" t="s">
        <v>437</v>
      </c>
      <c r="B121" s="103" t="s">
        <v>438</v>
      </c>
      <c r="C121" s="99" t="s">
        <v>439</v>
      </c>
    </row>
    <row r="122" spans="1:3">
      <c r="A122" s="89" t="s">
        <v>440</v>
      </c>
      <c r="B122" s="94" t="s">
        <v>441</v>
      </c>
      <c r="C122" s="90" t="s">
        <v>442</v>
      </c>
    </row>
    <row r="123" spans="1:3" ht="25.5">
      <c r="A123" s="91" t="s">
        <v>443</v>
      </c>
      <c r="B123" s="91" t="s">
        <v>444</v>
      </c>
      <c r="C123" s="92" t="s">
        <v>445</v>
      </c>
    </row>
    <row r="124" spans="1:3">
      <c r="A124" s="96" t="s">
        <v>446</v>
      </c>
      <c r="B124" s="97" t="s">
        <v>447</v>
      </c>
      <c r="C124" s="98" t="s">
        <v>448</v>
      </c>
    </row>
    <row r="125" spans="1:3" ht="25.5">
      <c r="A125" s="91" t="s">
        <v>449</v>
      </c>
      <c r="B125" s="91" t="s">
        <v>450</v>
      </c>
      <c r="C125" s="92" t="s">
        <v>451</v>
      </c>
    </row>
    <row r="126" spans="1:3">
      <c r="A126" s="96" t="s">
        <v>452</v>
      </c>
      <c r="B126" s="97" t="s">
        <v>453</v>
      </c>
      <c r="C126" s="98" t="s">
        <v>454</v>
      </c>
    </row>
    <row r="127" spans="1:3" ht="25.5">
      <c r="A127" s="103" t="s">
        <v>455</v>
      </c>
      <c r="B127" s="103" t="s">
        <v>456</v>
      </c>
      <c r="C127" s="99" t="s">
        <v>457</v>
      </c>
    </row>
    <row r="128" spans="1:3">
      <c r="A128" s="103" t="s">
        <v>458</v>
      </c>
      <c r="B128" s="103" t="s">
        <v>459</v>
      </c>
      <c r="C128" s="99" t="s">
        <v>460</v>
      </c>
    </row>
    <row r="129" spans="1:3" ht="25.5">
      <c r="A129" s="103" t="s">
        <v>461</v>
      </c>
      <c r="B129" s="103" t="s">
        <v>462</v>
      </c>
      <c r="C129" s="99" t="s">
        <v>463</v>
      </c>
    </row>
    <row r="130" spans="1:3" ht="25.5">
      <c r="A130" s="103" t="s">
        <v>464</v>
      </c>
      <c r="B130" s="103" t="s">
        <v>465</v>
      </c>
      <c r="C130" s="99" t="s">
        <v>466</v>
      </c>
    </row>
    <row r="131" spans="1:3">
      <c r="A131" s="96" t="s">
        <v>467</v>
      </c>
      <c r="B131" s="97" t="s">
        <v>468</v>
      </c>
      <c r="C131" s="98" t="s">
        <v>469</v>
      </c>
    </row>
    <row r="132" spans="1:3">
      <c r="A132" s="91" t="s">
        <v>470</v>
      </c>
      <c r="B132" s="91" t="s">
        <v>471</v>
      </c>
      <c r="C132" s="92" t="s">
        <v>472</v>
      </c>
    </row>
    <row r="133" spans="1:3">
      <c r="A133" s="89" t="s">
        <v>473</v>
      </c>
      <c r="B133" s="94" t="s">
        <v>474</v>
      </c>
      <c r="C133" s="90" t="s">
        <v>475</v>
      </c>
    </row>
    <row r="134" spans="1:3" ht="38.25">
      <c r="A134" s="91" t="s">
        <v>476</v>
      </c>
      <c r="B134" s="91" t="s">
        <v>477</v>
      </c>
      <c r="C134" s="92" t="s">
        <v>478</v>
      </c>
    </row>
    <row r="135" spans="1:3">
      <c r="A135" s="91" t="s">
        <v>479</v>
      </c>
      <c r="B135" s="91" t="s">
        <v>480</v>
      </c>
      <c r="C135" s="92" t="s">
        <v>481</v>
      </c>
    </row>
    <row r="136" spans="1:3">
      <c r="A136" s="89" t="s">
        <v>482</v>
      </c>
      <c r="B136" s="94" t="s">
        <v>483</v>
      </c>
      <c r="C136" s="90" t="s">
        <v>484</v>
      </c>
    </row>
    <row r="137" spans="1:3" ht="25.5">
      <c r="A137" s="91" t="s">
        <v>485</v>
      </c>
      <c r="B137" s="91" t="s">
        <v>486</v>
      </c>
      <c r="C137" s="92" t="s">
        <v>487</v>
      </c>
    </row>
    <row r="138" spans="1:3">
      <c r="A138" s="86" t="s">
        <v>488</v>
      </c>
      <c r="B138" s="101" t="s">
        <v>489</v>
      </c>
      <c r="C138" s="102"/>
    </row>
    <row r="139" spans="1:3" ht="25.5">
      <c r="A139" s="89" t="s">
        <v>490</v>
      </c>
      <c r="B139" s="94" t="s">
        <v>491</v>
      </c>
      <c r="C139" s="90" t="s">
        <v>492</v>
      </c>
    </row>
    <row r="140" spans="1:3">
      <c r="A140" s="91" t="s">
        <v>493</v>
      </c>
      <c r="B140" s="91" t="s">
        <v>494</v>
      </c>
      <c r="C140" s="92" t="s">
        <v>495</v>
      </c>
    </row>
    <row r="141" spans="1:3" ht="38.25">
      <c r="A141" s="91" t="s">
        <v>496</v>
      </c>
      <c r="B141" s="91" t="s">
        <v>497</v>
      </c>
      <c r="C141" s="92" t="s">
        <v>498</v>
      </c>
    </row>
    <row r="142" spans="1:3">
      <c r="A142" s="91" t="s">
        <v>499</v>
      </c>
      <c r="B142" s="91" t="s">
        <v>500</v>
      </c>
      <c r="C142" s="92" t="s">
        <v>501</v>
      </c>
    </row>
    <row r="143" spans="1:3" ht="25.5">
      <c r="A143" s="89" t="s">
        <v>502</v>
      </c>
      <c r="B143" s="94" t="s">
        <v>503</v>
      </c>
      <c r="C143" s="90" t="s">
        <v>504</v>
      </c>
    </row>
    <row r="144" spans="1:3">
      <c r="A144" s="91" t="s">
        <v>505</v>
      </c>
      <c r="B144" s="91" t="s">
        <v>506</v>
      </c>
      <c r="C144" s="92" t="s">
        <v>507</v>
      </c>
    </row>
    <row r="145" spans="1:3" ht="25.5">
      <c r="A145" s="91" t="s">
        <v>508</v>
      </c>
      <c r="B145" s="91" t="s">
        <v>509</v>
      </c>
      <c r="C145" s="92" t="s">
        <v>510</v>
      </c>
    </row>
    <row r="146" spans="1:3">
      <c r="A146" s="91" t="s">
        <v>511</v>
      </c>
      <c r="B146" s="91" t="s">
        <v>512</v>
      </c>
      <c r="C146" s="92" t="s">
        <v>513</v>
      </c>
    </row>
    <row r="147" spans="1:3" ht="25.5">
      <c r="A147" s="91" t="s">
        <v>514</v>
      </c>
      <c r="B147" s="91" t="s">
        <v>515</v>
      </c>
      <c r="C147" s="92" t="s">
        <v>516</v>
      </c>
    </row>
    <row r="148" spans="1:3">
      <c r="A148" s="86" t="s">
        <v>517</v>
      </c>
      <c r="B148" s="87" t="s">
        <v>518</v>
      </c>
      <c r="C148" s="102"/>
    </row>
    <row r="149" spans="1:3" ht="38.25">
      <c r="A149" s="89" t="s">
        <v>519</v>
      </c>
      <c r="B149" s="94" t="s">
        <v>520</v>
      </c>
      <c r="C149" s="90" t="s">
        <v>521</v>
      </c>
    </row>
    <row r="150" spans="1:3" ht="25.5">
      <c r="A150" s="91" t="s">
        <v>522</v>
      </c>
      <c r="B150" s="91" t="s">
        <v>523</v>
      </c>
      <c r="C150" s="92" t="s">
        <v>524</v>
      </c>
    </row>
    <row r="151" spans="1:3" ht="25.5">
      <c r="A151" s="91" t="s">
        <v>525</v>
      </c>
      <c r="B151" s="91" t="s">
        <v>526</v>
      </c>
      <c r="C151" s="104" t="s">
        <v>527</v>
      </c>
    </row>
    <row r="152" spans="1:3" ht="38.25">
      <c r="A152" s="91" t="s">
        <v>528</v>
      </c>
      <c r="B152" s="91" t="s">
        <v>529</v>
      </c>
      <c r="C152" s="104" t="s">
        <v>530</v>
      </c>
    </row>
    <row r="153" spans="1:3" ht="25.5">
      <c r="A153" s="89" t="s">
        <v>531</v>
      </c>
      <c r="B153" s="94" t="s">
        <v>532</v>
      </c>
      <c r="C153" s="90" t="s">
        <v>533</v>
      </c>
    </row>
    <row r="154" spans="1:3" ht="25.5">
      <c r="A154" s="91" t="s">
        <v>534</v>
      </c>
      <c r="B154" s="91" t="s">
        <v>535</v>
      </c>
      <c r="C154" s="92" t="s">
        <v>536</v>
      </c>
    </row>
    <row r="155" spans="1:3" ht="25.5">
      <c r="A155" s="91" t="s">
        <v>537</v>
      </c>
      <c r="B155" s="91" t="s">
        <v>538</v>
      </c>
      <c r="C155" s="92" t="s">
        <v>539</v>
      </c>
    </row>
    <row r="156" spans="1:3" ht="25.5">
      <c r="A156" s="91" t="s">
        <v>540</v>
      </c>
      <c r="B156" s="91" t="s">
        <v>541</v>
      </c>
      <c r="C156" s="92" t="s">
        <v>542</v>
      </c>
    </row>
    <row r="157" spans="1:3" ht="25.5">
      <c r="A157" s="91" t="s">
        <v>543</v>
      </c>
      <c r="B157" s="91" t="s">
        <v>544</v>
      </c>
      <c r="C157" s="92" t="s">
        <v>545</v>
      </c>
    </row>
    <row r="158" spans="1:3" ht="25.5">
      <c r="A158" s="91" t="s">
        <v>546</v>
      </c>
      <c r="B158" s="91" t="s">
        <v>547</v>
      </c>
      <c r="C158" s="92" t="s">
        <v>548</v>
      </c>
    </row>
    <row r="159" spans="1:3" ht="25.5">
      <c r="A159" s="91" t="s">
        <v>549</v>
      </c>
      <c r="B159" s="91" t="s">
        <v>550</v>
      </c>
      <c r="C159" s="92" t="s">
        <v>551</v>
      </c>
    </row>
    <row r="160" spans="1:3">
      <c r="A160" s="91" t="s">
        <v>552</v>
      </c>
      <c r="B160" s="91" t="s">
        <v>553</v>
      </c>
      <c r="C160" s="92" t="s">
        <v>554</v>
      </c>
    </row>
    <row r="161" spans="1:3">
      <c r="A161" s="91" t="s">
        <v>555</v>
      </c>
      <c r="B161" s="91" t="s">
        <v>556</v>
      </c>
      <c r="C161" s="92" t="s">
        <v>557</v>
      </c>
    </row>
    <row r="162" spans="1:3" ht="25.5">
      <c r="A162" s="91" t="s">
        <v>558</v>
      </c>
      <c r="B162" s="91" t="s">
        <v>559</v>
      </c>
      <c r="C162" s="92" t="s">
        <v>560</v>
      </c>
    </row>
    <row r="163" spans="1:3">
      <c r="A163" s="96" t="s">
        <v>561</v>
      </c>
      <c r="B163" s="97" t="s">
        <v>562</v>
      </c>
      <c r="C163" s="98" t="s">
        <v>563</v>
      </c>
    </row>
    <row r="164" spans="1:3">
      <c r="A164" s="91" t="s">
        <v>564</v>
      </c>
      <c r="B164" s="91" t="s">
        <v>565</v>
      </c>
      <c r="C164" s="92" t="s">
        <v>566</v>
      </c>
    </row>
    <row r="165" spans="1:3">
      <c r="A165" s="86" t="s">
        <v>567</v>
      </c>
      <c r="B165" s="87" t="s">
        <v>568</v>
      </c>
      <c r="C165" s="102"/>
    </row>
    <row r="166" spans="1:3">
      <c r="A166" s="89" t="s">
        <v>569</v>
      </c>
      <c r="B166" s="94" t="s">
        <v>570</v>
      </c>
      <c r="C166" s="90" t="s">
        <v>571</v>
      </c>
    </row>
    <row r="167" spans="1:3" ht="25.5">
      <c r="A167" s="91" t="s">
        <v>572</v>
      </c>
      <c r="B167" s="103" t="s">
        <v>573</v>
      </c>
      <c r="C167" s="92" t="s">
        <v>574</v>
      </c>
    </row>
    <row r="168" spans="1:3" ht="38.25">
      <c r="A168" s="91" t="s">
        <v>575</v>
      </c>
      <c r="B168" s="103" t="s">
        <v>576</v>
      </c>
      <c r="C168" s="92" t="s">
        <v>577</v>
      </c>
    </row>
    <row r="169" spans="1:3" ht="25.5">
      <c r="A169" s="91" t="s">
        <v>578</v>
      </c>
      <c r="B169" s="103" t="s">
        <v>579</v>
      </c>
      <c r="C169" s="92" t="s">
        <v>580</v>
      </c>
    </row>
    <row r="170" spans="1:3" ht="25.5">
      <c r="A170" s="89" t="s">
        <v>581</v>
      </c>
      <c r="B170" s="94" t="s">
        <v>582</v>
      </c>
      <c r="C170" s="90" t="s">
        <v>583</v>
      </c>
    </row>
    <row r="171" spans="1:3">
      <c r="A171" s="91" t="s">
        <v>584</v>
      </c>
      <c r="B171" s="91" t="s">
        <v>585</v>
      </c>
      <c r="C171" s="92" t="s">
        <v>586</v>
      </c>
    </row>
    <row r="172" spans="1:3" ht="38.25">
      <c r="A172" s="91" t="s">
        <v>587</v>
      </c>
      <c r="B172" s="91" t="s">
        <v>588</v>
      </c>
      <c r="C172" s="92" t="s">
        <v>589</v>
      </c>
    </row>
    <row r="173" spans="1:3" ht="15">
      <c r="A173" s="86" t="s">
        <v>590</v>
      </c>
      <c r="B173" s="87" t="s">
        <v>591</v>
      </c>
      <c r="C173" s="105"/>
    </row>
    <row r="174" spans="1:3" ht="25.5">
      <c r="A174" s="89" t="s">
        <v>592</v>
      </c>
      <c r="B174" s="94" t="s">
        <v>593</v>
      </c>
      <c r="C174" s="90" t="s">
        <v>594</v>
      </c>
    </row>
    <row r="175" spans="1:3" ht="25.5">
      <c r="A175" s="91" t="s">
        <v>595</v>
      </c>
      <c r="B175" s="103" t="s">
        <v>596</v>
      </c>
      <c r="C175" s="92" t="s">
        <v>597</v>
      </c>
    </row>
    <row r="176" spans="1:3" ht="25.5">
      <c r="A176" s="91" t="s">
        <v>598</v>
      </c>
      <c r="B176" s="103" t="s">
        <v>599</v>
      </c>
      <c r="C176" s="92" t="s">
        <v>600</v>
      </c>
    </row>
    <row r="177" spans="1:3" ht="25.5">
      <c r="A177" s="91" t="s">
        <v>601</v>
      </c>
      <c r="B177" s="103" t="s">
        <v>602</v>
      </c>
      <c r="C177" s="92" t="s">
        <v>603</v>
      </c>
    </row>
    <row r="178" spans="1:3" ht="25.5">
      <c r="A178" s="91" t="s">
        <v>604</v>
      </c>
      <c r="B178" s="103" t="s">
        <v>605</v>
      </c>
      <c r="C178" s="92" t="s">
        <v>606</v>
      </c>
    </row>
    <row r="179" spans="1:3">
      <c r="A179" s="91" t="s">
        <v>607</v>
      </c>
      <c r="B179" s="103" t="s">
        <v>608</v>
      </c>
      <c r="C179" s="92" t="s">
        <v>609</v>
      </c>
    </row>
    <row r="180" spans="1:3" ht="25.5">
      <c r="A180" s="91" t="s">
        <v>610</v>
      </c>
      <c r="B180" s="103" t="s">
        <v>608</v>
      </c>
      <c r="C180" s="92" t="s">
        <v>611</v>
      </c>
    </row>
    <row r="181" spans="1:3" ht="25.5">
      <c r="A181" s="91" t="s">
        <v>612</v>
      </c>
      <c r="B181" s="103" t="s">
        <v>608</v>
      </c>
      <c r="C181" s="92" t="s">
        <v>613</v>
      </c>
    </row>
    <row r="182" spans="1:3">
      <c r="A182" s="86" t="s">
        <v>614</v>
      </c>
      <c r="B182" s="87" t="s">
        <v>615</v>
      </c>
      <c r="C182" s="102"/>
    </row>
    <row r="183" spans="1:3" ht="25.5">
      <c r="A183" s="89" t="s">
        <v>616</v>
      </c>
      <c r="B183" s="94" t="s">
        <v>617</v>
      </c>
      <c r="C183" s="90" t="s">
        <v>618</v>
      </c>
    </row>
    <row r="184" spans="1:3" ht="25.5">
      <c r="A184" s="91" t="s">
        <v>619</v>
      </c>
      <c r="B184" s="91" t="s">
        <v>620</v>
      </c>
      <c r="C184" s="92" t="s">
        <v>621</v>
      </c>
    </row>
    <row r="185" spans="1:3" ht="25.5">
      <c r="A185" s="91" t="s">
        <v>622</v>
      </c>
      <c r="B185" s="91" t="s">
        <v>623</v>
      </c>
      <c r="C185" s="92" t="s">
        <v>624</v>
      </c>
    </row>
    <row r="186" spans="1:3" ht="25.5">
      <c r="A186" s="91" t="s">
        <v>625</v>
      </c>
      <c r="B186" s="91" t="s">
        <v>626</v>
      </c>
      <c r="C186" s="92" t="s">
        <v>627</v>
      </c>
    </row>
    <row r="187" spans="1:3">
      <c r="A187" s="96" t="s">
        <v>628</v>
      </c>
      <c r="B187" s="97" t="s">
        <v>629</v>
      </c>
      <c r="C187" s="98" t="s">
        <v>630</v>
      </c>
    </row>
    <row r="188" spans="1:3" ht="25.5">
      <c r="A188" s="91" t="s">
        <v>631</v>
      </c>
      <c r="B188" s="91" t="s">
        <v>632</v>
      </c>
      <c r="C188" s="92" t="s">
        <v>633</v>
      </c>
    </row>
    <row r="189" spans="1:3">
      <c r="A189" s="86" t="s">
        <v>634</v>
      </c>
      <c r="B189" s="87" t="s">
        <v>635</v>
      </c>
      <c r="C189" s="106"/>
    </row>
    <row r="190" spans="1:3" ht="25.5">
      <c r="A190" s="89" t="s">
        <v>636</v>
      </c>
      <c r="B190" s="94" t="s">
        <v>637</v>
      </c>
      <c r="C190" s="90" t="s">
        <v>638</v>
      </c>
    </row>
    <row r="191" spans="1:3" ht="38.25">
      <c r="A191" s="91" t="s">
        <v>639</v>
      </c>
      <c r="B191" s="91" t="s">
        <v>640</v>
      </c>
      <c r="C191" s="92" t="s">
        <v>641</v>
      </c>
    </row>
    <row r="192" spans="1:3" ht="25.5">
      <c r="A192" s="91" t="s">
        <v>642</v>
      </c>
      <c r="B192" s="91" t="s">
        <v>643</v>
      </c>
      <c r="C192" s="92" t="s">
        <v>644</v>
      </c>
    </row>
    <row r="193" spans="1:3" ht="25.5">
      <c r="A193" s="91" t="s">
        <v>645</v>
      </c>
      <c r="B193" s="91" t="s">
        <v>646</v>
      </c>
      <c r="C193" s="92" t="s">
        <v>647</v>
      </c>
    </row>
    <row r="194" spans="1:3" ht="25.5">
      <c r="A194" s="91" t="s">
        <v>648</v>
      </c>
      <c r="B194" s="91" t="s">
        <v>649</v>
      </c>
      <c r="C194" s="92" t="s">
        <v>650</v>
      </c>
    </row>
    <row r="195" spans="1:3">
      <c r="A195" s="91" t="s">
        <v>651</v>
      </c>
      <c r="B195" s="91" t="s">
        <v>652</v>
      </c>
      <c r="C195" s="92" t="s">
        <v>653</v>
      </c>
    </row>
    <row r="196" spans="1:3" ht="25.5">
      <c r="A196" s="89" t="s">
        <v>654</v>
      </c>
      <c r="B196" s="94" t="s">
        <v>655</v>
      </c>
      <c r="C196" s="90" t="s">
        <v>656</v>
      </c>
    </row>
    <row r="197" spans="1:3" ht="38.25">
      <c r="A197" s="91" t="s">
        <v>657</v>
      </c>
      <c r="B197" s="91" t="s">
        <v>658</v>
      </c>
      <c r="C197" s="92" t="s">
        <v>659</v>
      </c>
    </row>
    <row r="198" spans="1:3" ht="25.5">
      <c r="A198" s="91" t="s">
        <v>660</v>
      </c>
      <c r="B198" s="91" t="s">
        <v>661</v>
      </c>
      <c r="C198" s="92" t="s">
        <v>662</v>
      </c>
    </row>
    <row r="199" spans="1:3" ht="25.5">
      <c r="A199" s="91" t="s">
        <v>663</v>
      </c>
      <c r="B199" s="91" t="s">
        <v>664</v>
      </c>
      <c r="C199" s="92" t="s">
        <v>665</v>
      </c>
    </row>
  </sheetData>
  <autoFilter ref="A1:B19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E23"/>
  <sheetViews>
    <sheetView showGridLines="0" workbookViewId="0">
      <pane xSplit="6" ySplit="1" topLeftCell="G2" activePane="bottomRight" state="frozenSplit"/>
      <selection pane="topRight" activeCell="G1" sqref="G1"/>
      <selection pane="bottomLeft" activeCell="A2" sqref="A2"/>
      <selection pane="bottomRight" activeCell="G2" sqref="G2"/>
    </sheetView>
  </sheetViews>
  <sheetFormatPr defaultRowHeight="14.25"/>
  <cols>
    <col min="1" max="1" width="5.125" customWidth="1"/>
    <col min="2" max="2" width="37" customWidth="1"/>
    <col min="3" max="3" width="25.25" customWidth="1"/>
    <col min="4" max="4" width="61.625" customWidth="1"/>
    <col min="5" max="5" width="24" customWidth="1"/>
    <col min="6" max="6" width="1.75" customWidth="1"/>
  </cols>
  <sheetData>
    <row r="1" spans="1:5" ht="15">
      <c r="A1" s="2" t="s">
        <v>0</v>
      </c>
      <c r="B1" s="2" t="s">
        <v>43</v>
      </c>
      <c r="C1" s="2" t="s">
        <v>45</v>
      </c>
      <c r="D1" s="2" t="s">
        <v>44</v>
      </c>
      <c r="E1" s="2" t="s">
        <v>31</v>
      </c>
    </row>
    <row r="2" spans="1:5" s="4" customFormat="1">
      <c r="A2" s="3" t="str">
        <f>IF(AND($B2&lt;&gt;"",C$2&lt;&gt;"",$D2&lt;&gt;""),1,"")</f>
        <v/>
      </c>
      <c r="B2" s="3"/>
      <c r="C2" s="3"/>
      <c r="D2" s="3"/>
      <c r="E2" s="1"/>
    </row>
    <row r="3" spans="1:5" s="4" customFormat="1">
      <c r="A3" s="3" t="str">
        <f>IF(AND($B3&lt;&gt;"",$C3&lt;&gt;"",$D3&lt;&gt;""),1+$A2,"")</f>
        <v/>
      </c>
      <c r="B3" s="3"/>
      <c r="C3" s="3"/>
      <c r="D3" s="3"/>
      <c r="E3" s="1"/>
    </row>
    <row r="4" spans="1:5" s="4" customFormat="1">
      <c r="A4" s="3" t="str">
        <f t="shared" ref="A4:A23" si="0">IF(AND($B4&lt;&gt;"",$C4&lt;&gt;"",$D4&lt;&gt;""),1+$A3,"")</f>
        <v/>
      </c>
      <c r="B4" s="3"/>
      <c r="C4" s="3"/>
      <c r="D4" s="3"/>
      <c r="E4" s="1"/>
    </row>
    <row r="5" spans="1:5" s="4" customFormat="1">
      <c r="A5" s="3" t="str">
        <f t="shared" si="0"/>
        <v/>
      </c>
      <c r="B5" s="3"/>
      <c r="C5" s="3"/>
      <c r="D5" s="3"/>
      <c r="E5" s="1"/>
    </row>
    <row r="6" spans="1:5" s="4" customFormat="1">
      <c r="A6" s="3" t="str">
        <f t="shared" si="0"/>
        <v/>
      </c>
      <c r="B6" s="3"/>
      <c r="C6" s="3"/>
      <c r="D6" s="3"/>
      <c r="E6" s="1"/>
    </row>
    <row r="7" spans="1:5" s="4" customFormat="1">
      <c r="A7" s="3" t="str">
        <f t="shared" si="0"/>
        <v/>
      </c>
      <c r="B7" s="3"/>
      <c r="C7" s="3"/>
      <c r="D7" s="3"/>
      <c r="E7" s="1"/>
    </row>
    <row r="8" spans="1:5" s="4" customFormat="1">
      <c r="A8" s="3" t="str">
        <f t="shared" si="0"/>
        <v/>
      </c>
      <c r="B8" s="3"/>
      <c r="C8" s="3"/>
      <c r="D8" s="3"/>
      <c r="E8" s="1"/>
    </row>
    <row r="9" spans="1:5" s="4" customFormat="1">
      <c r="A9" s="3" t="str">
        <f t="shared" si="0"/>
        <v/>
      </c>
      <c r="B9" s="3"/>
      <c r="C9" s="3"/>
      <c r="D9" s="3"/>
      <c r="E9" s="1"/>
    </row>
    <row r="10" spans="1:5" s="4" customFormat="1">
      <c r="A10" s="3" t="str">
        <f t="shared" si="0"/>
        <v/>
      </c>
      <c r="B10" s="3"/>
      <c r="C10" s="3"/>
      <c r="D10" s="3"/>
      <c r="E10" s="1"/>
    </row>
    <row r="11" spans="1:5" s="4" customFormat="1">
      <c r="A11" s="3" t="str">
        <f t="shared" si="0"/>
        <v/>
      </c>
      <c r="B11" s="3"/>
      <c r="C11" s="3"/>
      <c r="D11" s="3"/>
      <c r="E11" s="1"/>
    </row>
    <row r="12" spans="1:5" s="4" customFormat="1">
      <c r="A12" s="3" t="str">
        <f t="shared" si="0"/>
        <v/>
      </c>
      <c r="B12" s="3"/>
      <c r="C12" s="3"/>
      <c r="D12" s="3"/>
      <c r="E12" s="1"/>
    </row>
    <row r="13" spans="1:5" s="4" customFormat="1">
      <c r="A13" s="3" t="str">
        <f t="shared" si="0"/>
        <v/>
      </c>
      <c r="B13" s="3"/>
      <c r="C13" s="3"/>
      <c r="D13" s="3"/>
      <c r="E13" s="1"/>
    </row>
    <row r="14" spans="1:5" s="4" customFormat="1">
      <c r="A14" s="3" t="str">
        <f t="shared" si="0"/>
        <v/>
      </c>
      <c r="B14" s="3"/>
      <c r="C14" s="3"/>
      <c r="D14" s="3"/>
      <c r="E14" s="1"/>
    </row>
    <row r="15" spans="1:5" s="4" customFormat="1">
      <c r="A15" s="3" t="str">
        <f t="shared" si="0"/>
        <v/>
      </c>
      <c r="B15" s="3"/>
      <c r="C15" s="3"/>
      <c r="D15" s="3"/>
      <c r="E15" s="1"/>
    </row>
    <row r="16" spans="1:5" s="4" customFormat="1">
      <c r="A16" s="3" t="str">
        <f t="shared" si="0"/>
        <v/>
      </c>
      <c r="B16" s="3"/>
      <c r="C16" s="3"/>
      <c r="D16" s="3"/>
      <c r="E16" s="1"/>
    </row>
    <row r="17" spans="1:5" s="4" customFormat="1">
      <c r="A17" s="3" t="str">
        <f t="shared" si="0"/>
        <v/>
      </c>
      <c r="B17" s="3"/>
      <c r="C17" s="3"/>
      <c r="D17" s="3"/>
      <c r="E17" s="1"/>
    </row>
    <row r="18" spans="1:5" s="4" customFormat="1">
      <c r="A18" s="3" t="str">
        <f t="shared" si="0"/>
        <v/>
      </c>
      <c r="B18" s="3"/>
      <c r="C18" s="3"/>
      <c r="D18" s="3"/>
      <c r="E18" s="1"/>
    </row>
    <row r="19" spans="1:5" s="4" customFormat="1">
      <c r="A19" s="3" t="str">
        <f t="shared" si="0"/>
        <v/>
      </c>
      <c r="B19" s="3"/>
      <c r="C19" s="3"/>
      <c r="D19" s="3"/>
      <c r="E19" s="1"/>
    </row>
    <row r="20" spans="1:5" s="4" customFormat="1">
      <c r="A20" s="3" t="str">
        <f t="shared" si="0"/>
        <v/>
      </c>
      <c r="B20" s="3"/>
      <c r="C20" s="3"/>
      <c r="D20" s="3"/>
      <c r="E20" s="1"/>
    </row>
    <row r="21" spans="1:5" s="4" customFormat="1">
      <c r="A21" s="3" t="str">
        <f t="shared" si="0"/>
        <v/>
      </c>
      <c r="B21" s="3"/>
      <c r="C21" s="3"/>
      <c r="D21" s="3"/>
      <c r="E21" s="1"/>
    </row>
    <row r="22" spans="1:5" s="4" customFormat="1">
      <c r="A22" s="3" t="str">
        <f t="shared" si="0"/>
        <v/>
      </c>
      <c r="B22" s="3"/>
      <c r="C22" s="3"/>
      <c r="D22" s="3"/>
      <c r="E22" s="1"/>
    </row>
    <row r="23" spans="1:5" s="4" customFormat="1">
      <c r="A23" s="3" t="str">
        <f t="shared" si="0"/>
        <v/>
      </c>
      <c r="B23" s="3"/>
      <c r="C23" s="3"/>
      <c r="D23" s="3"/>
      <c r="E23" s="1"/>
    </row>
  </sheetData>
  <dataValidations count="2">
    <dataValidation type="list" allowBlank="1" showInputMessage="1" showErrorMessage="1" sqref="B2:B23">
      <formula1>#REF!</formula1>
    </dataValidation>
    <dataValidation type="list" allowBlank="1" showInputMessage="1" showErrorMessage="1" sqref="E2:E23">
      <formula1>#REF!</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E6"/>
  <sheetViews>
    <sheetView showGridLines="0" workbookViewId="0">
      <selection activeCell="B10" sqref="B10"/>
    </sheetView>
  </sheetViews>
  <sheetFormatPr defaultRowHeight="14.25"/>
  <cols>
    <col min="1" max="1" width="5.125" style="72" customWidth="1"/>
    <col min="2" max="2" width="19.125" customWidth="1"/>
    <col min="3" max="3" width="23.125" customWidth="1"/>
    <col min="4" max="4" width="12" customWidth="1"/>
    <col min="5" max="5" width="59.75" customWidth="1"/>
  </cols>
  <sheetData>
    <row r="1" spans="1:5" ht="19.5" customHeight="1">
      <c r="A1" s="68" t="s">
        <v>0</v>
      </c>
      <c r="B1" s="69" t="s">
        <v>145</v>
      </c>
      <c r="C1" s="69" t="s">
        <v>146</v>
      </c>
      <c r="D1" s="69" t="s">
        <v>147</v>
      </c>
      <c r="E1" s="69" t="s">
        <v>30</v>
      </c>
    </row>
    <row r="2" spans="1:5" ht="19.5" customHeight="1">
      <c r="A2" s="70">
        <v>1</v>
      </c>
      <c r="B2" s="71" t="s">
        <v>148</v>
      </c>
      <c r="C2" s="71"/>
      <c r="D2" s="71"/>
      <c r="E2" s="71" t="s">
        <v>149</v>
      </c>
    </row>
    <row r="3" spans="1:5" ht="19.5" customHeight="1">
      <c r="A3" s="70">
        <v>2</v>
      </c>
      <c r="B3" s="71" t="s">
        <v>150</v>
      </c>
      <c r="C3" s="71"/>
      <c r="D3" s="71"/>
      <c r="E3" s="71" t="s">
        <v>151</v>
      </c>
    </row>
    <row r="4" spans="1:5" ht="19.5" customHeight="1">
      <c r="A4" s="70">
        <v>3</v>
      </c>
      <c r="B4" s="71" t="s">
        <v>152</v>
      </c>
      <c r="C4" s="71"/>
      <c r="D4" s="71"/>
      <c r="E4" s="71" t="s">
        <v>153</v>
      </c>
    </row>
    <row r="5" spans="1:5" ht="19.5" customHeight="1">
      <c r="A5" s="70">
        <v>4</v>
      </c>
      <c r="B5" s="71" t="s">
        <v>154</v>
      </c>
      <c r="C5" s="71"/>
      <c r="D5" s="71"/>
      <c r="E5" s="71" t="s">
        <v>155</v>
      </c>
    </row>
    <row r="6" spans="1:5" ht="19.5" customHeight="1">
      <c r="A6" s="70">
        <v>5</v>
      </c>
      <c r="B6" s="71" t="s">
        <v>156</v>
      </c>
      <c r="C6" s="71"/>
      <c r="D6" s="71"/>
      <c r="E6" s="71" t="s">
        <v>157</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D12"/>
  <sheetViews>
    <sheetView showGridLines="0" workbookViewId="0">
      <selection activeCell="D19" sqref="D19"/>
    </sheetView>
  </sheetViews>
  <sheetFormatPr defaultRowHeight="14.25"/>
  <cols>
    <col min="1" max="1" width="5.125" style="72" customWidth="1"/>
    <col min="2" max="2" width="12.875" customWidth="1"/>
    <col min="3" max="3" width="32.5" customWidth="1"/>
    <col min="4" max="4" width="88" customWidth="1"/>
    <col min="5" max="5" width="2.875" customWidth="1"/>
  </cols>
  <sheetData>
    <row r="1" spans="1:4" ht="19.5" customHeight="1">
      <c r="A1" s="68" t="s">
        <v>0</v>
      </c>
      <c r="B1" s="73" t="s">
        <v>158</v>
      </c>
      <c r="C1" s="73" t="s">
        <v>159</v>
      </c>
      <c r="D1" s="73" t="s">
        <v>160</v>
      </c>
    </row>
    <row r="2" spans="1:4" s="75" customFormat="1" ht="19.5" customHeight="1">
      <c r="A2" s="74">
        <v>1</v>
      </c>
      <c r="B2" s="76" t="s">
        <v>161</v>
      </c>
      <c r="C2" s="76" t="s">
        <v>162</v>
      </c>
      <c r="D2" s="76"/>
    </row>
    <row r="3" spans="1:4" s="75" customFormat="1" ht="19.5" customHeight="1">
      <c r="A3" s="74">
        <v>2</v>
      </c>
      <c r="B3" s="76" t="s">
        <v>163</v>
      </c>
      <c r="C3" s="76" t="s">
        <v>164</v>
      </c>
      <c r="D3" s="76"/>
    </row>
    <row r="4" spans="1:4" s="75" customFormat="1" ht="19.5" customHeight="1">
      <c r="A4" s="74">
        <v>3</v>
      </c>
      <c r="B4" s="76" t="s">
        <v>165</v>
      </c>
      <c r="C4" s="76" t="s">
        <v>166</v>
      </c>
      <c r="D4" s="76"/>
    </row>
    <row r="5" spans="1:4" s="75" customFormat="1" ht="19.5" customHeight="1">
      <c r="A5" s="74">
        <v>4</v>
      </c>
      <c r="B5" s="76" t="s">
        <v>167</v>
      </c>
      <c r="C5" s="76" t="s">
        <v>168</v>
      </c>
      <c r="D5" s="76"/>
    </row>
    <row r="6" spans="1:4" s="75" customFormat="1" ht="19.5" customHeight="1">
      <c r="A6" s="74">
        <v>5</v>
      </c>
      <c r="B6" s="76" t="s">
        <v>169</v>
      </c>
      <c r="C6" s="76" t="s">
        <v>170</v>
      </c>
      <c r="D6" s="76"/>
    </row>
    <row r="7" spans="1:4" s="75" customFormat="1" ht="19.5" customHeight="1">
      <c r="A7" s="74">
        <v>6</v>
      </c>
      <c r="B7" s="76" t="s">
        <v>171</v>
      </c>
      <c r="C7" s="76" t="s">
        <v>172</v>
      </c>
      <c r="D7" s="76"/>
    </row>
    <row r="8" spans="1:4" s="75" customFormat="1" ht="19.5" customHeight="1">
      <c r="A8" s="74">
        <v>7</v>
      </c>
      <c r="B8" s="76" t="s">
        <v>173</v>
      </c>
      <c r="C8" s="76" t="s">
        <v>174</v>
      </c>
      <c r="D8" s="76"/>
    </row>
    <row r="9" spans="1:4" s="75" customFormat="1" ht="19.5" customHeight="1">
      <c r="A9" s="74">
        <v>8</v>
      </c>
      <c r="B9" s="76" t="s">
        <v>175</v>
      </c>
      <c r="C9" s="76" t="s">
        <v>180</v>
      </c>
      <c r="D9" s="76"/>
    </row>
    <row r="10" spans="1:4" s="75" customFormat="1" ht="19.5" customHeight="1">
      <c r="A10" s="74">
        <v>9</v>
      </c>
      <c r="B10" s="76" t="s">
        <v>176</v>
      </c>
      <c r="C10" s="76" t="s">
        <v>181</v>
      </c>
      <c r="D10" s="76"/>
    </row>
    <row r="11" spans="1:4" s="75" customFormat="1" ht="19.5" customHeight="1">
      <c r="A11" s="74"/>
      <c r="B11" s="76"/>
      <c r="C11" s="76"/>
      <c r="D11" s="76"/>
    </row>
    <row r="12" spans="1:4" s="75" customFormat="1" ht="19.5" customHeight="1">
      <c r="A12" s="74"/>
      <c r="B12" s="76"/>
      <c r="C12" s="76"/>
      <c r="D12" s="76"/>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15"/>
  <sheetViews>
    <sheetView workbookViewId="0">
      <selection activeCell="A15" sqref="A15"/>
    </sheetView>
  </sheetViews>
  <sheetFormatPr defaultRowHeight="14.25"/>
  <cols>
    <col min="1" max="1" width="17.75" customWidth="1"/>
  </cols>
  <sheetData>
    <row r="1" spans="1:1">
      <c r="A1" t="s">
        <v>31</v>
      </c>
    </row>
    <row r="2" spans="1:1">
      <c r="A2" t="s">
        <v>110</v>
      </c>
    </row>
    <row r="3" spans="1:1">
      <c r="A3" t="s">
        <v>190</v>
      </c>
    </row>
    <row r="4" spans="1:1">
      <c r="A4" t="s">
        <v>32</v>
      </c>
    </row>
    <row r="5" spans="1:1">
      <c r="A5" t="s">
        <v>105</v>
      </c>
    </row>
    <row r="6" spans="1:1">
      <c r="A6" t="s">
        <v>106</v>
      </c>
    </row>
    <row r="7" spans="1:1">
      <c r="A7" t="s">
        <v>107</v>
      </c>
    </row>
    <row r="8" spans="1:1">
      <c r="A8" t="s">
        <v>108</v>
      </c>
    </row>
    <row r="9" spans="1:1">
      <c r="A9" t="s">
        <v>109</v>
      </c>
    </row>
    <row r="10" spans="1:1">
      <c r="A10" t="s">
        <v>182</v>
      </c>
    </row>
    <row r="11" spans="1:1">
      <c r="A11" t="s">
        <v>104</v>
      </c>
    </row>
    <row r="12" spans="1:1">
      <c r="A12" t="s">
        <v>34</v>
      </c>
    </row>
    <row r="13" spans="1:1">
      <c r="A13" t="s">
        <v>185</v>
      </c>
    </row>
    <row r="14" spans="1:1">
      <c r="A14" t="s">
        <v>187</v>
      </c>
    </row>
    <row r="15" spans="1:1">
      <c r="A15" t="s">
        <v>714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38"/>
  <sheetViews>
    <sheetView showGridLines="0" workbookViewId="0">
      <pane xSplit="3" ySplit="1" topLeftCell="D2" activePane="bottomRight" state="frozenSplit"/>
      <selection activeCell="B36" sqref="B36"/>
      <selection pane="topRight" activeCell="B36" sqref="B36"/>
      <selection pane="bottomLeft" activeCell="A2" sqref="A2"/>
      <selection pane="bottomRight" activeCell="C21" sqref="C21:C38"/>
    </sheetView>
  </sheetViews>
  <sheetFormatPr defaultColWidth="8.75" defaultRowHeight="12.75"/>
  <cols>
    <col min="1" max="1" width="5.625" style="32" customWidth="1"/>
    <col min="2" max="2" width="59" style="32" customWidth="1"/>
    <col min="3" max="3" width="12.625" style="53" customWidth="1"/>
    <col min="4" max="4" width="11.875" style="53" customWidth="1"/>
    <col min="5" max="5" width="24.25" style="32" customWidth="1"/>
    <col min="6" max="6" width="20.625" style="32" customWidth="1"/>
    <col min="7" max="7" width="24.625" style="32" customWidth="1"/>
    <col min="8" max="8" width="32" style="32" customWidth="1"/>
    <col min="9" max="9" width="38.125" style="32" customWidth="1"/>
    <col min="10" max="10" width="19.5" style="32" customWidth="1"/>
    <col min="11" max="16384" width="8.75" style="32"/>
  </cols>
  <sheetData>
    <row r="1" spans="1:10" s="39" customFormat="1" ht="25.5">
      <c r="A1" s="33" t="s">
        <v>0</v>
      </c>
      <c r="B1" s="33" t="s">
        <v>57</v>
      </c>
      <c r="C1" s="34" t="s">
        <v>1</v>
      </c>
      <c r="D1" s="35" t="s">
        <v>31</v>
      </c>
      <c r="E1" s="36" t="s">
        <v>30</v>
      </c>
      <c r="F1" s="33" t="s">
        <v>58</v>
      </c>
      <c r="G1" s="37" t="s">
        <v>59</v>
      </c>
      <c r="H1" s="37" t="s">
        <v>60</v>
      </c>
      <c r="I1" s="37" t="s">
        <v>61</v>
      </c>
      <c r="J1" s="38" t="s">
        <v>114</v>
      </c>
    </row>
    <row r="2" spans="1:10" ht="27" customHeight="1">
      <c r="A2" s="40">
        <f>IF($B2&lt;&gt;"",1,"")</f>
        <v>1</v>
      </c>
      <c r="B2" s="41" t="s">
        <v>5</v>
      </c>
      <c r="C2" s="42" t="s">
        <v>6</v>
      </c>
      <c r="D2" s="43" t="s">
        <v>108</v>
      </c>
      <c r="E2" s="44" t="s">
        <v>121</v>
      </c>
      <c r="F2" s="44" t="s">
        <v>112</v>
      </c>
      <c r="G2" s="41" t="s">
        <v>111</v>
      </c>
      <c r="H2" s="41" t="s">
        <v>113</v>
      </c>
      <c r="I2" s="44" t="s">
        <v>76</v>
      </c>
      <c r="J2" s="45" t="s">
        <v>37</v>
      </c>
    </row>
    <row r="3" spans="1:10" ht="27" customHeight="1">
      <c r="A3" s="40">
        <f>IF(AND($B3&lt;&gt;"",$A2&gt;0),1+$A2,"")</f>
        <v>2</v>
      </c>
      <c r="B3" s="41" t="s">
        <v>128</v>
      </c>
      <c r="C3" s="42" t="s">
        <v>9</v>
      </c>
      <c r="D3" s="43" t="s">
        <v>106</v>
      </c>
      <c r="E3" s="46" t="s">
        <v>130</v>
      </c>
      <c r="F3" s="44" t="str">
        <f>F2</f>
        <v>SharePoint ISMS directory</v>
      </c>
      <c r="G3" s="41" t="str">
        <f>G2</f>
        <v>CIT Head</v>
      </c>
      <c r="H3" s="41" t="str">
        <f>H2</f>
        <v>Only CIT Head have the right to replace the Standard file</v>
      </c>
      <c r="I3" s="44" t="s">
        <v>76</v>
      </c>
      <c r="J3" s="45" t="s">
        <v>37</v>
      </c>
    </row>
    <row r="4" spans="1:10" ht="27" customHeight="1">
      <c r="A4" s="40">
        <f t="shared" ref="A4:A38" si="0">IF(AND($B4&lt;&gt;"",$A3&gt;0),1+$A3,"")</f>
        <v>3</v>
      </c>
      <c r="B4" s="41" t="s">
        <v>51</v>
      </c>
      <c r="C4" s="42" t="s">
        <v>3</v>
      </c>
      <c r="D4" s="43" t="s">
        <v>107</v>
      </c>
      <c r="E4" s="46"/>
      <c r="F4" s="44" t="str">
        <f t="shared" ref="F4:H15" si="1">F3</f>
        <v>SharePoint ISMS directory</v>
      </c>
      <c r="G4" s="41" t="str">
        <f t="shared" si="1"/>
        <v>CIT Head</v>
      </c>
      <c r="H4" s="41" t="str">
        <f t="shared" si="1"/>
        <v>Only CIT Head have the right to replace the Standard file</v>
      </c>
      <c r="I4" s="44" t="s">
        <v>76</v>
      </c>
      <c r="J4" s="45" t="s">
        <v>37</v>
      </c>
    </row>
    <row r="5" spans="1:10" ht="27" customHeight="1">
      <c r="A5" s="40">
        <f t="shared" si="0"/>
        <v>4</v>
      </c>
      <c r="B5" s="41" t="s">
        <v>52</v>
      </c>
      <c r="C5" s="42" t="s">
        <v>4</v>
      </c>
      <c r="D5" s="43" t="s">
        <v>110</v>
      </c>
      <c r="E5" s="46"/>
      <c r="F5" s="44" t="str">
        <f t="shared" si="1"/>
        <v>SharePoint ISMS directory</v>
      </c>
      <c r="G5" s="41" t="str">
        <f t="shared" si="1"/>
        <v>CIT Head</v>
      </c>
      <c r="H5" s="41" t="str">
        <f t="shared" si="1"/>
        <v>Only CIT Head have the right to replace the Standard file</v>
      </c>
      <c r="I5" s="44" t="s">
        <v>76</v>
      </c>
      <c r="J5" s="45" t="s">
        <v>37</v>
      </c>
    </row>
    <row r="6" spans="1:10" ht="27" customHeight="1">
      <c r="A6" s="40">
        <f t="shared" si="0"/>
        <v>5</v>
      </c>
      <c r="B6" s="41" t="s">
        <v>2</v>
      </c>
      <c r="C6" s="42" t="s">
        <v>7</v>
      </c>
      <c r="D6" s="43" t="s">
        <v>110</v>
      </c>
      <c r="E6" s="46"/>
      <c r="F6" s="44" t="str">
        <f t="shared" si="1"/>
        <v>SharePoint ISMS directory</v>
      </c>
      <c r="G6" s="41" t="str">
        <f t="shared" si="1"/>
        <v>CIT Head</v>
      </c>
      <c r="H6" s="41" t="str">
        <f t="shared" si="1"/>
        <v>Only CIT Head have the right to replace the Standard file</v>
      </c>
      <c r="I6" s="44" t="s">
        <v>76</v>
      </c>
      <c r="J6" s="45" t="s">
        <v>37</v>
      </c>
    </row>
    <row r="7" spans="1:10" ht="27" customHeight="1">
      <c r="A7" s="40">
        <f t="shared" si="0"/>
        <v>6</v>
      </c>
      <c r="B7" s="41" t="s">
        <v>16</v>
      </c>
      <c r="C7" s="42" t="s">
        <v>8</v>
      </c>
      <c r="D7" s="43" t="s">
        <v>110</v>
      </c>
      <c r="E7" s="46"/>
      <c r="F7" s="44" t="str">
        <f t="shared" si="1"/>
        <v>SharePoint ISMS directory</v>
      </c>
      <c r="G7" s="41" t="str">
        <f t="shared" si="1"/>
        <v>CIT Head</v>
      </c>
      <c r="H7" s="41" t="str">
        <f t="shared" si="1"/>
        <v>Only CIT Head have the right to replace the Standard file</v>
      </c>
      <c r="I7" s="44" t="s">
        <v>76</v>
      </c>
      <c r="J7" s="45" t="s">
        <v>37</v>
      </c>
    </row>
    <row r="8" spans="1:10" ht="27" customHeight="1">
      <c r="A8" s="40">
        <f t="shared" si="0"/>
        <v>7</v>
      </c>
      <c r="B8" s="41" t="s">
        <v>19</v>
      </c>
      <c r="C8" s="42" t="s">
        <v>13</v>
      </c>
      <c r="D8" s="43" t="s">
        <v>110</v>
      </c>
      <c r="E8" s="46"/>
      <c r="F8" s="44" t="str">
        <f t="shared" si="1"/>
        <v>SharePoint ISMS directory</v>
      </c>
      <c r="G8" s="41" t="str">
        <f t="shared" si="1"/>
        <v>CIT Head</v>
      </c>
      <c r="H8" s="41" t="str">
        <f t="shared" si="1"/>
        <v>Only CIT Head have the right to replace the Standard file</v>
      </c>
      <c r="I8" s="44" t="s">
        <v>76</v>
      </c>
      <c r="J8" s="45" t="s">
        <v>37</v>
      </c>
    </row>
    <row r="9" spans="1:10" ht="27" customHeight="1">
      <c r="A9" s="40">
        <f t="shared" si="0"/>
        <v>8</v>
      </c>
      <c r="B9" s="41" t="s">
        <v>20</v>
      </c>
      <c r="C9" s="42" t="s">
        <v>15</v>
      </c>
      <c r="D9" s="43" t="s">
        <v>110</v>
      </c>
      <c r="E9" s="46"/>
      <c r="F9" s="44" t="str">
        <f t="shared" si="1"/>
        <v>SharePoint ISMS directory</v>
      </c>
      <c r="G9" s="41" t="str">
        <f t="shared" si="1"/>
        <v>CIT Head</v>
      </c>
      <c r="H9" s="41" t="str">
        <f t="shared" si="1"/>
        <v>Only CIT Head have the right to replace the Standard file</v>
      </c>
      <c r="I9" s="44" t="s">
        <v>76</v>
      </c>
      <c r="J9" s="45" t="s">
        <v>37</v>
      </c>
    </row>
    <row r="10" spans="1:10" ht="27" customHeight="1">
      <c r="A10" s="40">
        <f t="shared" si="0"/>
        <v>9</v>
      </c>
      <c r="B10" s="41" t="s">
        <v>22</v>
      </c>
      <c r="C10" s="42" t="s">
        <v>17</v>
      </c>
      <c r="D10" s="43" t="s">
        <v>110</v>
      </c>
      <c r="E10" s="46"/>
      <c r="F10" s="44" t="str">
        <f t="shared" si="1"/>
        <v>SharePoint ISMS directory</v>
      </c>
      <c r="G10" s="41" t="str">
        <f t="shared" si="1"/>
        <v>CIT Head</v>
      </c>
      <c r="H10" s="41" t="str">
        <f t="shared" si="1"/>
        <v>Only CIT Head have the right to replace the Standard file</v>
      </c>
      <c r="I10" s="44" t="s">
        <v>76</v>
      </c>
      <c r="J10" s="45" t="s">
        <v>37</v>
      </c>
    </row>
    <row r="11" spans="1:10" ht="27" customHeight="1">
      <c r="A11" s="40">
        <f t="shared" si="0"/>
        <v>10</v>
      </c>
      <c r="B11" s="41" t="s">
        <v>25</v>
      </c>
      <c r="C11" s="42" t="s">
        <v>18</v>
      </c>
      <c r="D11" s="43" t="s">
        <v>110</v>
      </c>
      <c r="E11" s="46"/>
      <c r="F11" s="44" t="str">
        <f t="shared" si="1"/>
        <v>SharePoint ISMS directory</v>
      </c>
      <c r="G11" s="41" t="str">
        <f t="shared" si="1"/>
        <v>CIT Head</v>
      </c>
      <c r="H11" s="41" t="str">
        <f t="shared" si="1"/>
        <v>Only CIT Head have the right to replace the Standard file</v>
      </c>
      <c r="I11" s="44" t="s">
        <v>76</v>
      </c>
      <c r="J11" s="45" t="s">
        <v>37</v>
      </c>
    </row>
    <row r="12" spans="1:10" ht="27" customHeight="1">
      <c r="A12" s="40">
        <f t="shared" si="0"/>
        <v>11</v>
      </c>
      <c r="B12" s="41" t="s">
        <v>26</v>
      </c>
      <c r="C12" s="42" t="s">
        <v>21</v>
      </c>
      <c r="D12" s="43" t="s">
        <v>110</v>
      </c>
      <c r="E12" s="46"/>
      <c r="F12" s="44" t="str">
        <f t="shared" si="1"/>
        <v>SharePoint ISMS directory</v>
      </c>
      <c r="G12" s="41" t="str">
        <f t="shared" si="1"/>
        <v>CIT Head</v>
      </c>
      <c r="H12" s="41" t="str">
        <f t="shared" si="1"/>
        <v>Only CIT Head have the right to replace the Standard file</v>
      </c>
      <c r="I12" s="44" t="s">
        <v>76</v>
      </c>
      <c r="J12" s="45" t="s">
        <v>37</v>
      </c>
    </row>
    <row r="13" spans="1:10" ht="27" customHeight="1">
      <c r="A13" s="40">
        <f t="shared" si="0"/>
        <v>12</v>
      </c>
      <c r="B13" s="41" t="s">
        <v>29</v>
      </c>
      <c r="C13" s="42" t="s">
        <v>23</v>
      </c>
      <c r="D13" s="43" t="s">
        <v>110</v>
      </c>
      <c r="E13" s="46"/>
      <c r="F13" s="44" t="str">
        <f t="shared" si="1"/>
        <v>SharePoint ISMS directory</v>
      </c>
      <c r="G13" s="41" t="str">
        <f t="shared" si="1"/>
        <v>CIT Head</v>
      </c>
      <c r="H13" s="41" t="str">
        <f t="shared" si="1"/>
        <v>Only CIT Head have the right to replace the Standard file</v>
      </c>
      <c r="I13" s="44" t="s">
        <v>76</v>
      </c>
      <c r="J13" s="45" t="s">
        <v>37</v>
      </c>
    </row>
    <row r="14" spans="1:10" ht="27" customHeight="1">
      <c r="A14" s="40">
        <f t="shared" si="0"/>
        <v>13</v>
      </c>
      <c r="B14" s="41" t="s">
        <v>12</v>
      </c>
      <c r="C14" s="42" t="s">
        <v>24</v>
      </c>
      <c r="D14" s="43" t="s">
        <v>110</v>
      </c>
      <c r="E14" s="46"/>
      <c r="F14" s="44" t="str">
        <f t="shared" si="1"/>
        <v>SharePoint ISMS directory</v>
      </c>
      <c r="G14" s="41" t="str">
        <f t="shared" si="1"/>
        <v>CIT Head</v>
      </c>
      <c r="H14" s="41" t="str">
        <f t="shared" si="1"/>
        <v>Only CIT Head have the right to replace the Standard file</v>
      </c>
      <c r="I14" s="44" t="s">
        <v>76</v>
      </c>
      <c r="J14" s="45" t="s">
        <v>37</v>
      </c>
    </row>
    <row r="15" spans="1:10" ht="27" customHeight="1">
      <c r="A15" s="40">
        <f t="shared" si="0"/>
        <v>14</v>
      </c>
      <c r="B15" s="41" t="s">
        <v>14</v>
      </c>
      <c r="C15" s="42" t="s">
        <v>27</v>
      </c>
      <c r="D15" s="43" t="s">
        <v>110</v>
      </c>
      <c r="E15" s="46"/>
      <c r="F15" s="44" t="str">
        <f t="shared" si="1"/>
        <v>SharePoint ISMS directory</v>
      </c>
      <c r="G15" s="41" t="str">
        <f t="shared" si="1"/>
        <v>CIT Head</v>
      </c>
      <c r="H15" s="41" t="str">
        <f t="shared" si="1"/>
        <v>Only CIT Head have the right to replace the Standard file</v>
      </c>
      <c r="I15" s="44" t="s">
        <v>76</v>
      </c>
      <c r="J15" s="45" t="s">
        <v>37</v>
      </c>
    </row>
    <row r="16" spans="1:10" ht="27" customHeight="1">
      <c r="A16" s="40">
        <f t="shared" si="0"/>
        <v>15</v>
      </c>
      <c r="B16" s="41" t="s">
        <v>122</v>
      </c>
      <c r="C16" s="42" t="s">
        <v>28</v>
      </c>
      <c r="D16" s="43" t="s">
        <v>107</v>
      </c>
      <c r="E16" s="46"/>
      <c r="F16" s="44" t="str">
        <f>F14</f>
        <v>SharePoint ISMS directory</v>
      </c>
      <c r="G16" s="41" t="str">
        <f>G14</f>
        <v>CIT Head</v>
      </c>
      <c r="H16" s="41" t="str">
        <f>H14</f>
        <v>Only CIT Head have the right to replace the Standard file</v>
      </c>
      <c r="I16" s="44" t="s">
        <v>76</v>
      </c>
      <c r="J16" s="45" t="s">
        <v>37</v>
      </c>
    </row>
    <row r="17" spans="1:11" ht="27" customHeight="1">
      <c r="A17" s="40">
        <f t="shared" si="0"/>
        <v>16</v>
      </c>
      <c r="B17" s="41" t="s">
        <v>117</v>
      </c>
      <c r="C17" s="42" t="s">
        <v>118</v>
      </c>
      <c r="D17" s="43" t="s">
        <v>107</v>
      </c>
      <c r="E17" s="46"/>
      <c r="F17" s="44" t="str">
        <f>F14</f>
        <v>SharePoint ISMS directory</v>
      </c>
      <c r="G17" s="41" t="str">
        <f>G14</f>
        <v>CIT Head</v>
      </c>
      <c r="H17" s="41" t="str">
        <f>H14</f>
        <v>Only CIT Head have the right to replace the Standard file</v>
      </c>
      <c r="I17" s="44" t="s">
        <v>76</v>
      </c>
      <c r="J17" s="45" t="s">
        <v>37</v>
      </c>
    </row>
    <row r="18" spans="1:11" ht="27" customHeight="1">
      <c r="A18" s="40">
        <f t="shared" si="0"/>
        <v>17</v>
      </c>
      <c r="B18" s="41" t="s">
        <v>120</v>
      </c>
      <c r="C18" s="42" t="s">
        <v>119</v>
      </c>
      <c r="D18" s="43" t="s">
        <v>107</v>
      </c>
      <c r="E18" s="46"/>
      <c r="F18" s="44" t="str">
        <f t="shared" ref="F18:H19" si="2">F14</f>
        <v>SharePoint ISMS directory</v>
      </c>
      <c r="G18" s="41" t="str">
        <f t="shared" si="2"/>
        <v>CIT Head</v>
      </c>
      <c r="H18" s="41" t="str">
        <f t="shared" si="2"/>
        <v>Only CIT Head have the right to replace the Standard file</v>
      </c>
      <c r="I18" s="44" t="s">
        <v>76</v>
      </c>
      <c r="J18" s="45" t="s">
        <v>37</v>
      </c>
    </row>
    <row r="19" spans="1:11" ht="27" customHeight="1">
      <c r="A19" s="40">
        <f t="shared" si="0"/>
        <v>18</v>
      </c>
      <c r="B19" s="41" t="s">
        <v>123</v>
      </c>
      <c r="C19" s="42" t="s">
        <v>124</v>
      </c>
      <c r="D19" s="43" t="s">
        <v>107</v>
      </c>
      <c r="E19" s="46"/>
      <c r="F19" s="44" t="str">
        <f t="shared" si="2"/>
        <v>SharePoint ISMS directory</v>
      </c>
      <c r="G19" s="41" t="str">
        <f t="shared" si="2"/>
        <v>CIT Head</v>
      </c>
      <c r="H19" s="41" t="str">
        <f t="shared" si="2"/>
        <v>Only CIT Head have the right to replace the Standard file</v>
      </c>
      <c r="I19" s="44" t="s">
        <v>76</v>
      </c>
      <c r="J19" s="45" t="s">
        <v>37</v>
      </c>
    </row>
    <row r="20" spans="1:11" ht="27" customHeight="1">
      <c r="A20" s="40">
        <f t="shared" si="0"/>
        <v>19</v>
      </c>
      <c r="B20" s="41" t="s">
        <v>115</v>
      </c>
      <c r="C20" s="42" t="s">
        <v>116</v>
      </c>
      <c r="D20" s="43" t="s">
        <v>110</v>
      </c>
      <c r="E20" s="46"/>
      <c r="F20" s="44" t="str">
        <f>F15</f>
        <v>SharePoint ISMS directory</v>
      </c>
      <c r="G20" s="41" t="str">
        <f>G15</f>
        <v>CIT Head</v>
      </c>
      <c r="H20" s="41" t="str">
        <f>H15</f>
        <v>Only CIT Head have the right to replace the Standard file</v>
      </c>
      <c r="I20" s="44" t="s">
        <v>76</v>
      </c>
      <c r="J20" s="45" t="s">
        <v>37</v>
      </c>
    </row>
    <row r="21" spans="1:11" ht="27" customHeight="1">
      <c r="A21" s="40">
        <f t="shared" si="0"/>
        <v>20</v>
      </c>
      <c r="B21" s="41" t="s">
        <v>48</v>
      </c>
      <c r="C21" s="42" t="s">
        <v>37</v>
      </c>
      <c r="D21" s="43" t="s">
        <v>110</v>
      </c>
      <c r="E21" s="46"/>
      <c r="F21" s="44" t="str">
        <f t="shared" ref="F21:H36" si="3">F20</f>
        <v>SharePoint ISMS directory</v>
      </c>
      <c r="G21" s="41" t="str">
        <f t="shared" si="3"/>
        <v>CIT Head</v>
      </c>
      <c r="H21" s="41" t="str">
        <f t="shared" si="3"/>
        <v>Only CIT Head have the right to replace the Standard file</v>
      </c>
      <c r="I21" s="44" t="s">
        <v>76</v>
      </c>
      <c r="J21" s="45" t="s">
        <v>37</v>
      </c>
    </row>
    <row r="22" spans="1:11" ht="27" customHeight="1">
      <c r="A22" s="40">
        <f t="shared" si="0"/>
        <v>21</v>
      </c>
      <c r="B22" s="41" t="s">
        <v>36</v>
      </c>
      <c r="C22" s="42" t="s">
        <v>37</v>
      </c>
      <c r="D22" s="43" t="s">
        <v>110</v>
      </c>
      <c r="E22" s="46"/>
      <c r="F22" s="44" t="str">
        <f t="shared" si="3"/>
        <v>SharePoint ISMS directory</v>
      </c>
      <c r="G22" s="41" t="str">
        <f t="shared" si="3"/>
        <v>CIT Head</v>
      </c>
      <c r="H22" s="41" t="str">
        <f t="shared" si="3"/>
        <v>Only CIT Head have the right to replace the Standard file</v>
      </c>
      <c r="I22" s="44" t="s">
        <v>76</v>
      </c>
      <c r="J22" s="45" t="s">
        <v>37</v>
      </c>
    </row>
    <row r="23" spans="1:11" ht="27" customHeight="1">
      <c r="A23" s="40">
        <f t="shared" si="0"/>
        <v>22</v>
      </c>
      <c r="B23" s="41" t="s">
        <v>53</v>
      </c>
      <c r="C23" s="42" t="s">
        <v>37</v>
      </c>
      <c r="D23" s="43" t="s">
        <v>110</v>
      </c>
      <c r="E23" s="47"/>
      <c r="F23" s="44" t="str">
        <f t="shared" si="3"/>
        <v>SharePoint ISMS directory</v>
      </c>
      <c r="G23" s="41" t="str">
        <f t="shared" si="3"/>
        <v>CIT Head</v>
      </c>
      <c r="H23" s="41" t="str">
        <f t="shared" si="3"/>
        <v>Only CIT Head have the right to replace the Standard file</v>
      </c>
      <c r="I23" s="44" t="s">
        <v>76</v>
      </c>
      <c r="J23" s="45" t="s">
        <v>37</v>
      </c>
    </row>
    <row r="24" spans="1:11" ht="27" customHeight="1">
      <c r="A24" s="40">
        <f t="shared" si="0"/>
        <v>23</v>
      </c>
      <c r="B24" s="48" t="s">
        <v>77</v>
      </c>
      <c r="C24" s="49" t="s">
        <v>37</v>
      </c>
      <c r="D24" s="43" t="s">
        <v>110</v>
      </c>
      <c r="E24" s="50"/>
      <c r="F24" s="44" t="str">
        <f t="shared" si="3"/>
        <v>SharePoint ISMS directory</v>
      </c>
      <c r="G24" s="41" t="str">
        <f t="shared" si="3"/>
        <v>CIT Head</v>
      </c>
      <c r="H24" s="41" t="str">
        <f t="shared" si="3"/>
        <v>Only CIT Head have the right to replace the Standard file</v>
      </c>
      <c r="I24" s="44" t="s">
        <v>76</v>
      </c>
      <c r="J24" s="45" t="s">
        <v>37</v>
      </c>
    </row>
    <row r="25" spans="1:11" ht="27" customHeight="1">
      <c r="A25" s="40">
        <f t="shared" si="0"/>
        <v>24</v>
      </c>
      <c r="B25" s="41" t="s">
        <v>62</v>
      </c>
      <c r="C25" s="49" t="s">
        <v>37</v>
      </c>
      <c r="D25" s="43" t="s">
        <v>110</v>
      </c>
      <c r="E25" s="51"/>
      <c r="F25" s="44" t="str">
        <f t="shared" si="3"/>
        <v>SharePoint ISMS directory</v>
      </c>
      <c r="G25" s="41" t="str">
        <f t="shared" si="3"/>
        <v>CIT Head</v>
      </c>
      <c r="H25" s="41" t="str">
        <f t="shared" si="3"/>
        <v>Only CIT Head have the right to replace the Standard file</v>
      </c>
      <c r="I25" s="44" t="s">
        <v>80</v>
      </c>
      <c r="J25" s="45" t="s">
        <v>37</v>
      </c>
    </row>
    <row r="26" spans="1:11" ht="27" customHeight="1">
      <c r="A26" s="40">
        <f t="shared" si="0"/>
        <v>25</v>
      </c>
      <c r="B26" s="41" t="s">
        <v>125</v>
      </c>
      <c r="C26" s="42" t="s">
        <v>37</v>
      </c>
      <c r="D26" s="43" t="s">
        <v>110</v>
      </c>
      <c r="E26" s="41"/>
      <c r="F26" s="44" t="str">
        <f t="shared" si="3"/>
        <v>SharePoint ISMS directory</v>
      </c>
      <c r="G26" s="41" t="str">
        <f t="shared" si="3"/>
        <v>CIT Head</v>
      </c>
      <c r="H26" s="41" t="e">
        <f>#REF!</f>
        <v>#REF!</v>
      </c>
      <c r="I26" s="44" t="s">
        <v>80</v>
      </c>
      <c r="J26" s="45" t="s">
        <v>37</v>
      </c>
    </row>
    <row r="27" spans="1:11" ht="27" customHeight="1">
      <c r="A27" s="40">
        <f t="shared" si="0"/>
        <v>26</v>
      </c>
      <c r="B27" s="41" t="s">
        <v>64</v>
      </c>
      <c r="C27" s="42" t="s">
        <v>37</v>
      </c>
      <c r="D27" s="43" t="s">
        <v>110</v>
      </c>
      <c r="E27" s="41"/>
      <c r="F27" s="44" t="str">
        <f t="shared" si="3"/>
        <v>SharePoint ISMS directory</v>
      </c>
      <c r="G27" s="41" t="str">
        <f t="shared" si="3"/>
        <v>CIT Head</v>
      </c>
      <c r="H27" s="41" t="e">
        <f t="shared" si="3"/>
        <v>#REF!</v>
      </c>
      <c r="I27" s="44" t="s">
        <v>81</v>
      </c>
      <c r="J27" s="45" t="s">
        <v>37</v>
      </c>
    </row>
    <row r="28" spans="1:11" s="41" customFormat="1" ht="27" customHeight="1">
      <c r="A28" s="40">
        <f t="shared" si="0"/>
        <v>27</v>
      </c>
      <c r="B28" s="41" t="s">
        <v>69</v>
      </c>
      <c r="C28" s="42" t="s">
        <v>37</v>
      </c>
      <c r="D28" s="43" t="s">
        <v>110</v>
      </c>
      <c r="F28" s="44" t="str">
        <f t="shared" si="3"/>
        <v>SharePoint ISMS directory</v>
      </c>
      <c r="G28" s="41" t="str">
        <f t="shared" si="3"/>
        <v>CIT Head</v>
      </c>
      <c r="H28" s="41" t="e">
        <f>H38</f>
        <v>#REF!</v>
      </c>
      <c r="I28" s="44" t="s">
        <v>82</v>
      </c>
      <c r="J28" s="45" t="s">
        <v>37</v>
      </c>
      <c r="K28" s="52"/>
    </row>
    <row r="29" spans="1:11" s="41" customFormat="1" ht="27" customHeight="1">
      <c r="A29" s="40">
        <f t="shared" si="0"/>
        <v>28</v>
      </c>
      <c r="B29" s="41" t="s">
        <v>70</v>
      </c>
      <c r="C29" s="42" t="s">
        <v>37</v>
      </c>
      <c r="D29" s="43" t="s">
        <v>110</v>
      </c>
      <c r="F29" s="44" t="str">
        <f t="shared" si="3"/>
        <v>SharePoint ISMS directory</v>
      </c>
      <c r="G29" s="41" t="str">
        <f t="shared" si="3"/>
        <v>CIT Head</v>
      </c>
      <c r="H29" s="41" t="e">
        <f t="shared" si="3"/>
        <v>#REF!</v>
      </c>
      <c r="I29" s="44" t="s">
        <v>76</v>
      </c>
      <c r="J29" s="45" t="s">
        <v>37</v>
      </c>
      <c r="K29" s="52"/>
    </row>
    <row r="30" spans="1:11" s="41" customFormat="1" ht="27" customHeight="1">
      <c r="A30" s="40">
        <f t="shared" si="0"/>
        <v>29</v>
      </c>
      <c r="B30" s="41" t="s">
        <v>71</v>
      </c>
      <c r="C30" s="42" t="s">
        <v>37</v>
      </c>
      <c r="D30" s="43" t="s">
        <v>110</v>
      </c>
      <c r="F30" s="44" t="str">
        <f t="shared" si="3"/>
        <v>SharePoint ISMS directory</v>
      </c>
      <c r="G30" s="41" t="str">
        <f t="shared" si="3"/>
        <v>CIT Head</v>
      </c>
      <c r="H30" s="41" t="e">
        <f t="shared" si="3"/>
        <v>#REF!</v>
      </c>
      <c r="I30" s="44" t="s">
        <v>76</v>
      </c>
      <c r="J30" s="45" t="s">
        <v>37</v>
      </c>
      <c r="K30" s="52"/>
    </row>
    <row r="31" spans="1:11" s="41" customFormat="1" ht="27" customHeight="1">
      <c r="A31" s="40">
        <f t="shared" si="0"/>
        <v>30</v>
      </c>
      <c r="B31" s="41" t="s">
        <v>92</v>
      </c>
      <c r="C31" s="42" t="s">
        <v>37</v>
      </c>
      <c r="D31" s="43" t="s">
        <v>110</v>
      </c>
      <c r="F31" s="44" t="str">
        <f t="shared" si="3"/>
        <v>SharePoint ISMS directory</v>
      </c>
      <c r="G31" s="41" t="str">
        <f t="shared" si="3"/>
        <v>CIT Head</v>
      </c>
      <c r="H31" s="41" t="e">
        <f t="shared" si="3"/>
        <v>#REF!</v>
      </c>
      <c r="I31" s="44" t="s">
        <v>76</v>
      </c>
      <c r="J31" s="45" t="s">
        <v>37</v>
      </c>
      <c r="K31" s="52"/>
    </row>
    <row r="32" spans="1:11" s="41" customFormat="1" ht="27" customHeight="1">
      <c r="A32" s="40">
        <f t="shared" si="0"/>
        <v>31</v>
      </c>
      <c r="B32" s="41" t="s">
        <v>72</v>
      </c>
      <c r="C32" s="42" t="s">
        <v>37</v>
      </c>
      <c r="D32" s="43" t="s">
        <v>110</v>
      </c>
      <c r="F32" s="44" t="str">
        <f t="shared" si="3"/>
        <v>SharePoint ISMS directory</v>
      </c>
      <c r="G32" s="41" t="str">
        <f t="shared" si="3"/>
        <v>CIT Head</v>
      </c>
      <c r="H32" s="41" t="e">
        <f t="shared" si="3"/>
        <v>#REF!</v>
      </c>
      <c r="I32" s="44" t="s">
        <v>76</v>
      </c>
      <c r="J32" s="45" t="s">
        <v>37</v>
      </c>
      <c r="K32" s="52"/>
    </row>
    <row r="33" spans="1:11" s="41" customFormat="1" ht="27" customHeight="1">
      <c r="A33" s="40">
        <f t="shared" si="0"/>
        <v>32</v>
      </c>
      <c r="B33" s="41" t="s">
        <v>73</v>
      </c>
      <c r="C33" s="42" t="s">
        <v>37</v>
      </c>
      <c r="D33" s="43" t="s">
        <v>110</v>
      </c>
      <c r="F33" s="44" t="str">
        <f t="shared" si="3"/>
        <v>SharePoint ISMS directory</v>
      </c>
      <c r="G33" s="41" t="str">
        <f t="shared" si="3"/>
        <v>CIT Head</v>
      </c>
      <c r="H33" s="41" t="e">
        <f t="shared" si="3"/>
        <v>#REF!</v>
      </c>
      <c r="I33" s="44" t="s">
        <v>76</v>
      </c>
      <c r="J33" s="45" t="s">
        <v>37</v>
      </c>
      <c r="K33" s="52"/>
    </row>
    <row r="34" spans="1:11" s="41" customFormat="1" ht="27" customHeight="1">
      <c r="A34" s="40">
        <f t="shared" si="0"/>
        <v>33</v>
      </c>
      <c r="B34" s="41" t="s">
        <v>74</v>
      </c>
      <c r="C34" s="42" t="s">
        <v>37</v>
      </c>
      <c r="D34" s="43" t="s">
        <v>110</v>
      </c>
      <c r="F34" s="44" t="str">
        <f t="shared" si="3"/>
        <v>SharePoint ISMS directory</v>
      </c>
      <c r="G34" s="41" t="str">
        <f t="shared" si="3"/>
        <v>CIT Head</v>
      </c>
      <c r="H34" s="41" t="e">
        <f t="shared" si="3"/>
        <v>#REF!</v>
      </c>
      <c r="I34" s="44" t="s">
        <v>76</v>
      </c>
      <c r="J34" s="45" t="s">
        <v>37</v>
      </c>
      <c r="K34" s="52"/>
    </row>
    <row r="35" spans="1:11" s="41" customFormat="1" ht="27" customHeight="1">
      <c r="A35" s="40">
        <f t="shared" si="0"/>
        <v>34</v>
      </c>
      <c r="B35" s="41" t="s">
        <v>91</v>
      </c>
      <c r="C35" s="40" t="s">
        <v>37</v>
      </c>
      <c r="D35" s="43" t="s">
        <v>110</v>
      </c>
      <c r="F35" s="44" t="str">
        <f t="shared" si="3"/>
        <v>SharePoint ISMS directory</v>
      </c>
      <c r="G35" s="41" t="str">
        <f t="shared" si="3"/>
        <v>CIT Head</v>
      </c>
      <c r="H35" s="41" t="e">
        <f t="shared" si="3"/>
        <v>#REF!</v>
      </c>
      <c r="I35" s="44" t="s">
        <v>76</v>
      </c>
      <c r="J35" s="45" t="s">
        <v>37</v>
      </c>
      <c r="K35" s="52"/>
    </row>
    <row r="36" spans="1:11" s="41" customFormat="1" ht="27" customHeight="1">
      <c r="A36" s="40">
        <f t="shared" si="0"/>
        <v>35</v>
      </c>
      <c r="B36" s="48" t="s">
        <v>127</v>
      </c>
      <c r="C36" s="61" t="s">
        <v>37</v>
      </c>
      <c r="D36" s="62" t="s">
        <v>106</v>
      </c>
      <c r="E36" s="48"/>
      <c r="F36" s="44" t="str">
        <f t="shared" si="3"/>
        <v>SharePoint ISMS directory</v>
      </c>
      <c r="G36" s="41" t="str">
        <f t="shared" si="3"/>
        <v>CIT Head</v>
      </c>
      <c r="H36" s="48" t="e">
        <f t="shared" si="3"/>
        <v>#REF!</v>
      </c>
      <c r="I36" s="63" t="s">
        <v>76</v>
      </c>
      <c r="J36" s="64" t="s">
        <v>37</v>
      </c>
      <c r="K36" s="52"/>
    </row>
    <row r="37" spans="1:11" ht="27" customHeight="1">
      <c r="A37" s="40">
        <f t="shared" si="0"/>
        <v>36</v>
      </c>
      <c r="B37" s="50" t="s">
        <v>126</v>
      </c>
      <c r="C37" s="43" t="s">
        <v>37</v>
      </c>
      <c r="D37" s="43" t="s">
        <v>110</v>
      </c>
      <c r="E37" s="50"/>
      <c r="F37" s="44" t="str">
        <f>F36</f>
        <v>SharePoint ISMS directory</v>
      </c>
      <c r="G37" s="41" t="str">
        <f>G36</f>
        <v>CIT Head</v>
      </c>
      <c r="H37" s="50" t="e">
        <f>H27</f>
        <v>#REF!</v>
      </c>
      <c r="I37" s="50" t="s">
        <v>82</v>
      </c>
      <c r="J37" s="45" t="s">
        <v>37</v>
      </c>
    </row>
    <row r="38" spans="1:11" ht="27" customHeight="1">
      <c r="A38" s="40">
        <f t="shared" si="0"/>
        <v>37</v>
      </c>
      <c r="B38" s="50" t="s">
        <v>129</v>
      </c>
      <c r="C38" s="43" t="s">
        <v>37</v>
      </c>
      <c r="D38" s="43" t="s">
        <v>110</v>
      </c>
      <c r="E38" s="50"/>
      <c r="F38" s="44" t="str">
        <f>F37</f>
        <v>SharePoint ISMS directory</v>
      </c>
      <c r="G38" s="41" t="str">
        <f>G37</f>
        <v>CIT Head</v>
      </c>
      <c r="H38" s="50" t="e">
        <f>#REF!</f>
        <v>#REF!</v>
      </c>
      <c r="I38" s="50" t="s">
        <v>82</v>
      </c>
      <c r="J38" s="45" t="s">
        <v>37</v>
      </c>
    </row>
  </sheetData>
  <conditionalFormatting sqref="D1:D1048576">
    <cfRule type="cellIs" dxfId="1" priority="1" operator="equal">
      <formula>"Not started"</formula>
    </cfRule>
    <cfRule type="cellIs" dxfId="0" priority="2" operator="equal">
      <formula>"Completed"</formula>
    </cfRule>
  </conditionalFormatting>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Notice" error="Value is unlisted">
          <x14:formula1>
            <xm:f>Categories!$A$2:$A$17</xm:f>
          </x14:formula1>
          <xm:sqref>D2:D38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Records (ISMS) (2)</vt:lpstr>
      <vt:lpstr>Records (manuals)</vt:lpstr>
      <vt:lpstr>Records (Others)</vt:lpstr>
      <vt:lpstr>ISO clauses-controls</vt:lpstr>
      <vt:lpstr>Next actions</vt:lpstr>
      <vt:lpstr>Roles</vt:lpstr>
      <vt:lpstr>Depts.</vt:lpstr>
      <vt:lpstr>Categories</vt:lpstr>
      <vt:lpstr>Records (sample)</vt:lpstr>
    </vt:vector>
  </TitlesOfParts>
  <Company>OUE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Documents master list</dc:title>
  <dc:subject>ISMS</dc:subject>
  <dc:creator>Lim Sek Seong</dc:creator>
  <cp:keywords>Agile Lab</cp:keywords>
  <cp:lastModifiedBy>Lim Sek Seong</cp:lastModifiedBy>
  <dcterms:created xsi:type="dcterms:W3CDTF">2014-01-14T05:52:15Z</dcterms:created>
  <dcterms:modified xsi:type="dcterms:W3CDTF">2020-12-14T06:05:27Z</dcterms:modified>
</cp:coreProperties>
</file>