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yWork\Projects 2020\SG\AgileLab (QuESH)\AgileLab ISMS\Agile Lab ISMS (DRAFT)\AL ISMS review 201021\"/>
    </mc:Choice>
  </mc:AlternateContent>
  <bookViews>
    <workbookView xWindow="360" yWindow="120" windowWidth="7635" windowHeight="4170" tabRatio="800" activeTab="2"/>
  </bookViews>
  <sheets>
    <sheet name="Cover" sheetId="8" r:id="rId1"/>
    <sheet name="Introduction" sheetId="7" r:id="rId2"/>
    <sheet name="Applicability" sheetId="12" r:id="rId3"/>
    <sheet name="Gov" sheetId="2" r:id="rId4"/>
    <sheet name="Stakeholders" sheetId="4" r:id="rId5"/>
    <sheet name="Suppliers" sheetId="5" r:id="rId6"/>
    <sheet name="Customers" sheetId="6" r:id="rId7"/>
    <sheet name="Business Process" sheetId="10" r:id="rId8"/>
    <sheet name="Lookup lists" sheetId="11" r:id="rId9"/>
  </sheets>
  <externalReferences>
    <externalReference r:id="rId10"/>
    <externalReference r:id="rId11"/>
    <externalReference r:id="rId12"/>
  </externalReferences>
  <definedNames>
    <definedName name="AssetsList">[1]Assets!$A$2:$A$50</definedName>
    <definedName name="Consolidated_Threat_Hazard_Categories">'[2]Key Risks'!$A$2:$A$21</definedName>
    <definedName name="Dept.or.Function">'Lookup lists'!$A$2:$A$21</definedName>
    <definedName name="DocsList">'[1]Master list'!$E$2:$E$39</definedName>
    <definedName name="LikelihoodRating">[1]Likelihood!$A$2:$A$6</definedName>
    <definedName name="Options">[3]Options!$A$3:$A$6</definedName>
    <definedName name="RatingAvailability">[1]Impact!$A$19:$A$23</definedName>
    <definedName name="RatingConfidentiality">[1]Impact!$A$3:$A$7</definedName>
    <definedName name="RatingIntegrity">[1]Impact!$A$11:$A$15</definedName>
    <definedName name="RiskOwners">[1]Owners!$B$2:$B$20</definedName>
    <definedName name="RTPoptions">'[1]RTP Options'!$A$2:$A$12</definedName>
    <definedName name="RTPstatus">'[1]RTP status'!$A$2:$A$17</definedName>
    <definedName name="ThreatsList">[1]Threats!$B$5:$B$197</definedName>
    <definedName name="Vulberability2" localSheetId="2">#REF!</definedName>
    <definedName name="Vulberability2">#REF!</definedName>
    <definedName name="VulnerabitiesList">[1]Vulnerabilities!$B$6:$B$300</definedName>
  </definedNames>
  <calcPr calcId="162913"/>
</workbook>
</file>

<file path=xl/calcChain.xml><?xml version="1.0" encoding="utf-8"?>
<calcChain xmlns="http://schemas.openxmlformats.org/spreadsheetml/2006/main">
  <c r="A8" i="5" l="1"/>
  <c r="A4" i="5"/>
  <c r="A5" i="5" s="1"/>
  <c r="A6" i="5" s="1"/>
  <c r="A7" i="5" s="1"/>
  <c r="E16" i="8"/>
  <c r="A5" i="4" l="1"/>
  <c r="A18" i="2" l="1"/>
  <c r="A19" i="2"/>
  <c r="A20" i="2"/>
  <c r="A21" i="2"/>
  <c r="A22" i="2"/>
  <c r="A23" i="2"/>
  <c r="A4" i="2"/>
  <c r="A5" i="2" s="1"/>
  <c r="A6" i="2" s="1"/>
  <c r="A7" i="2" s="1"/>
  <c r="A8" i="2" s="1"/>
  <c r="A9" i="2" s="1"/>
  <c r="A10" i="2" s="1"/>
  <c r="A11" i="2" s="1"/>
  <c r="A12" i="2" s="1"/>
  <c r="A13" i="2" s="1"/>
  <c r="A14" i="2" s="1"/>
  <c r="A15" i="2" s="1"/>
  <c r="A16" i="2" s="1"/>
  <c r="A17" i="2" s="1"/>
  <c r="A6" i="4"/>
  <c r="A7" i="4"/>
  <c r="A8" i="4"/>
  <c r="A9" i="4"/>
  <c r="A10" i="4"/>
  <c r="A4" i="4"/>
  <c r="A5" i="6"/>
  <c r="A6" i="6"/>
  <c r="A7" i="6"/>
  <c r="A8" i="6"/>
  <c r="A9" i="6"/>
  <c r="A10" i="6"/>
  <c r="A11" i="6"/>
  <c r="A4" i="6"/>
  <c r="A9" i="5"/>
  <c r="A10" i="5"/>
  <c r="A11" i="5"/>
  <c r="A12" i="5"/>
</calcChain>
</file>

<file path=xl/comments1.xml><?xml version="1.0" encoding="utf-8"?>
<comments xmlns="http://schemas.openxmlformats.org/spreadsheetml/2006/main">
  <authors>
    <author>Lim Sek Seong</author>
  </authors>
  <commentList>
    <comment ref="B8" authorId="0" shapeId="0">
      <text>
        <r>
          <rPr>
            <b/>
            <sz val="9"/>
            <color indexed="81"/>
            <rFont val="Tahoma"/>
            <family val="2"/>
          </rPr>
          <t>Lim Sek Seong:</t>
        </r>
        <r>
          <rPr>
            <sz val="9"/>
            <color indexed="81"/>
            <rFont val="Tahoma"/>
            <family val="2"/>
          </rPr>
          <t xml:space="preserve">
If more than 1 service provider, please create 1 row for each provider.
</t>
        </r>
      </text>
    </comment>
  </commentList>
</comments>
</file>

<file path=xl/sharedStrings.xml><?xml version="1.0" encoding="utf-8"?>
<sst xmlns="http://schemas.openxmlformats.org/spreadsheetml/2006/main" count="206" uniqueCount="101">
  <si>
    <t>Organization</t>
  </si>
  <si>
    <t>Department</t>
  </si>
  <si>
    <t>Document Title</t>
  </si>
  <si>
    <t>No.</t>
  </si>
  <si>
    <t>Regulations, Requirements, Expectations &amp;/or Interests</t>
  </si>
  <si>
    <t>Ministry of Manpower</t>
  </si>
  <si>
    <t>Workplace Safety &amp; Health Council</t>
  </si>
  <si>
    <t>Infocomm &amp; Media Development Authority</t>
  </si>
  <si>
    <t>Data Protection Council</t>
  </si>
  <si>
    <t>Inland Revenue Authority of Singapore</t>
  </si>
  <si>
    <t>Accounting and Corporate Regulatory Authority</t>
  </si>
  <si>
    <t>Central Provident Fund</t>
  </si>
  <si>
    <t>Investors, Shareholders, Business Partners</t>
  </si>
  <si>
    <t>Government Agencies &amp; Regulators  (Singapore)</t>
  </si>
  <si>
    <t>Key Suppliers / Vendors</t>
  </si>
  <si>
    <t>Key Customers</t>
  </si>
  <si>
    <t>Priority 1 clients</t>
  </si>
  <si>
    <t>Priority 2 clients</t>
  </si>
  <si>
    <t>Singapore Power</t>
  </si>
  <si>
    <t>Shareholders &amp; Investors</t>
  </si>
  <si>
    <t>Comply with business objectives, vision and mission defined by Company Directors</t>
  </si>
  <si>
    <t>Comply with relevant contractual and regulatory requirements; e.g. contestable electricity supplies for key clients; on time payment for electricity and water supply</t>
  </si>
  <si>
    <t>PUB - water supplies</t>
  </si>
  <si>
    <t>Urban Redevelopment Authority</t>
  </si>
  <si>
    <t>Building &amp; Construction Authority</t>
  </si>
  <si>
    <t>Singapore Civil Defence Force</t>
  </si>
  <si>
    <t>National Environmental Agency</t>
  </si>
  <si>
    <t>Public Utilities Board</t>
  </si>
  <si>
    <t>Energy Market Authority</t>
  </si>
  <si>
    <t>URA Act (Chapter 340) revised edition 1990</t>
  </si>
  <si>
    <t>Fire Code 2013; Fire Safety Act (Chapter 109A) revised edition 2000</t>
  </si>
  <si>
    <t>NEA Act (Chapter 195) revised edition 2003</t>
  </si>
  <si>
    <t>Personal Data Protection Act 2012 (No. 26 of 2012)
PDPA compliance – internal and external data shall be protected</t>
  </si>
  <si>
    <t>Public Utilities Act (Chapter 261) revised edition 2002</t>
  </si>
  <si>
    <t>EMA of Singapore Act (Chapter 92B) revised edition 2002</t>
  </si>
  <si>
    <t>CPF Act (Chapter 26) revised edition 2013</t>
  </si>
  <si>
    <t>IRAS Act (Chapter 138A) revised edition 2012
Income Tax Act (Chapter 134) revised edition 2014
Comply with relevant tax regulations – including personal income tax, corporate tax &amp; GST</t>
  </si>
  <si>
    <t>Companies Act (Chapter 50) revised edition 2006
ACRA Act (Chapter 2A) revised edition 2005
Fulfil corporate compliance requirements; like financial reporting</t>
  </si>
  <si>
    <t>Workplace Safety and Health Act (Chapter 354A) revised edition 2009
Risk management for workplace safety &amp; health (WSH) and WSH Act or WSHA.</t>
  </si>
  <si>
    <t>Employment Act (Chapter 91) revised edition 2009
Employment of Foreign Manpower Act (Chapter 91A) revised edition 2009
Payroll Tax Act (Chapter 223) revised edition 1985
Work Injury Compensation Act (Chapter 354) revised edition 2009</t>
  </si>
  <si>
    <t>Monetary Authority of Singapore</t>
  </si>
  <si>
    <t>MAS BCM Guidelines 2003
MAS Technical Risk Management Guidelines 2013</t>
  </si>
  <si>
    <t>Building Control Act (Chapter 29) revised edition 1999
BCA Act (Chapter 30A) revised edition 2012</t>
  </si>
  <si>
    <t>Singapore Land Authority</t>
  </si>
  <si>
    <t>Land Titles Act (Chapter 157) revised edition 2004</t>
  </si>
  <si>
    <t>Risks</t>
  </si>
  <si>
    <t>Penalties &amp;/or Fines</t>
  </si>
  <si>
    <t>Jail Term for Directors</t>
  </si>
  <si>
    <t>Yes</t>
  </si>
  <si>
    <t>No</t>
  </si>
  <si>
    <t>Non-compliance</t>
  </si>
  <si>
    <t>Register of legal, regulatory &amp; contractual requirements</t>
  </si>
  <si>
    <t>Applicable standards</t>
  </si>
  <si>
    <t>Related document</t>
  </si>
  <si>
    <t>Category</t>
  </si>
  <si>
    <t>Document Titles / Topics</t>
  </si>
  <si>
    <t>ISMS-05 Procedures for Identification of Requirements</t>
  </si>
  <si>
    <t>Classification</t>
  </si>
  <si>
    <t>Confidential</t>
  </si>
  <si>
    <t>Company</t>
  </si>
  <si>
    <t>Address</t>
  </si>
  <si>
    <t>Standard</t>
  </si>
  <si>
    <t>ISO27001</t>
  </si>
  <si>
    <t>Prepared by</t>
  </si>
  <si>
    <t>Lim Sek Seong &amp; Daniel Lim</t>
  </si>
  <si>
    <t>Date</t>
  </si>
  <si>
    <t>Approved by</t>
  </si>
  <si>
    <t>Rev. No.</t>
  </si>
  <si>
    <t>Events management contracted  customers</t>
  </si>
  <si>
    <t>Trophies and medals customers</t>
  </si>
  <si>
    <t>Cyber Security Act 2018</t>
  </si>
  <si>
    <t>Business Process Identification</t>
  </si>
  <si>
    <t>Business Process &amp; Key Functions</t>
  </si>
  <si>
    <t>Stakeholders</t>
  </si>
  <si>
    <t>Resolution</t>
  </si>
  <si>
    <t>Issues, Requirements or Risks</t>
  </si>
  <si>
    <t>&lt; fill-in blank &gt;</t>
  </si>
  <si>
    <t>Risks &amp; Consequences</t>
  </si>
  <si>
    <t>Agile Lab Pte. Ltd.</t>
  </si>
  <si>
    <t>73 Ayer Rajah Crescent, #02-28, Singapore 139952</t>
  </si>
  <si>
    <t>DRAFT</t>
  </si>
  <si>
    <t>Doc. Status</t>
  </si>
  <si>
    <t>Landlord</t>
  </si>
  <si>
    <t>Managing Agent</t>
  </si>
  <si>
    <t>&lt; replace with company name of landlord for office &gt;</t>
  </si>
  <si>
    <t>&lt; replace with company name of MA for office, if different from landlord &gt;</t>
  </si>
  <si>
    <t>Singtel / StarHub / M1</t>
  </si>
  <si>
    <t>Project Manager</t>
  </si>
  <si>
    <t>On time payment for telecommunication services for office and/or data centre</t>
  </si>
  <si>
    <t>Data centre service provider</t>
  </si>
  <si>
    <t>&lt; replace with company name &gt;</t>
  </si>
  <si>
    <t>Tech Leader</t>
  </si>
  <si>
    <t>Sales and Marketing Director</t>
  </si>
  <si>
    <t>Software Engineer</t>
  </si>
  <si>
    <t>Devops System Administration</t>
  </si>
  <si>
    <t>HR and Finance Department</t>
  </si>
  <si>
    <t>SS ISO 27001:2019 (or ISO 27001:2013)</t>
  </si>
  <si>
    <t>Clause Numbers</t>
  </si>
  <si>
    <t>Remarks</t>
  </si>
  <si>
    <t>Understanding the organisation and its needs</t>
  </si>
  <si>
    <t>Understanding the needs and expectations of interested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</si>
</sst>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41">
    <font>
      <sz val="11"/>
      <color theme="1"/>
      <name val="Calibri"/>
      <family val="2"/>
      <scheme val="minor"/>
    </font>
    <font>
      <sz val="11"/>
      <color theme="1"/>
      <name val="Calibri"/>
      <family val="2"/>
      <scheme val="minor"/>
    </font>
    <font>
      <sz val="11"/>
      <color indexed="8"/>
      <name val="Calibri"/>
      <family val="2"/>
    </font>
    <font>
      <sz val="11"/>
      <color indexed="8"/>
      <name val="新細明體"/>
      <family val="1"/>
      <charset val="136"/>
    </font>
    <font>
      <sz val="11"/>
      <color indexed="9"/>
      <name val="新細明體"/>
      <family val="1"/>
      <charset val="136"/>
    </font>
    <font>
      <b/>
      <sz val="11"/>
      <color indexed="52"/>
      <name val="Calibri"/>
      <family val="2"/>
    </font>
    <font>
      <sz val="10"/>
      <name val="Arial"/>
      <family val="2"/>
    </font>
    <font>
      <b/>
      <sz val="18"/>
      <color theme="3"/>
      <name val="Calibri"/>
      <family val="2"/>
      <scheme val="minor"/>
    </font>
    <font>
      <b/>
      <sz val="18"/>
      <color theme="0"/>
      <name val="Calibri"/>
      <family val="2"/>
      <scheme val="minor"/>
    </font>
    <font>
      <sz val="11"/>
      <color indexed="62"/>
      <name val="Calibri"/>
      <family val="2"/>
    </font>
    <font>
      <sz val="11"/>
      <color indexed="8"/>
      <name val="宋体"/>
      <charset val="134"/>
    </font>
    <font>
      <sz val="12"/>
      <name val="新細明體"/>
      <charset val="136"/>
    </font>
    <font>
      <sz val="12"/>
      <color theme="1"/>
      <name val="Calibri"/>
      <family val="2"/>
      <scheme val="minor"/>
    </font>
    <font>
      <sz val="11"/>
      <color theme="1"/>
      <name val="Arial"/>
      <family val="2"/>
    </font>
    <font>
      <b/>
      <sz val="11"/>
      <color indexed="63"/>
      <name val="Calibri"/>
      <family val="2"/>
    </font>
    <font>
      <b/>
      <sz val="11"/>
      <color indexed="8"/>
      <name val="Calibri"/>
      <family val="2"/>
    </font>
    <font>
      <sz val="12"/>
      <name val="新細明體"/>
      <family val="1"/>
      <charset val="136"/>
    </font>
    <font>
      <sz val="11"/>
      <color indexed="60"/>
      <name val="新細明體"/>
      <family val="1"/>
      <charset val="136"/>
    </font>
    <font>
      <b/>
      <sz val="11"/>
      <color indexed="8"/>
      <name val="新細明體"/>
      <family val="1"/>
      <charset val="136"/>
    </font>
    <font>
      <sz val="11"/>
      <color indexed="20"/>
      <name val="新細明體"/>
      <family val="1"/>
      <charset val="136"/>
    </font>
    <font>
      <sz val="11"/>
      <color indexed="17"/>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b/>
      <sz val="12"/>
      <color theme="1"/>
      <name val="Arial"/>
      <family val="2"/>
    </font>
    <font>
      <sz val="10"/>
      <color indexed="8"/>
      <name val="Arial"/>
      <family val="2"/>
    </font>
    <font>
      <sz val="10"/>
      <color theme="1"/>
      <name val="Arial"/>
      <family val="2"/>
    </font>
    <font>
      <b/>
      <sz val="10"/>
      <color theme="1"/>
      <name val="Arial"/>
      <family val="2"/>
    </font>
    <font>
      <b/>
      <sz val="10"/>
      <color rgb="FFFFFFFF"/>
      <name val="Arial"/>
      <family val="2"/>
    </font>
    <font>
      <sz val="10"/>
      <color indexed="8"/>
      <name val="Arial Unicode MS"/>
      <family val="2"/>
    </font>
    <font>
      <sz val="9"/>
      <color indexed="81"/>
      <name val="Tahoma"/>
      <family val="2"/>
    </font>
    <font>
      <b/>
      <sz val="9"/>
      <color indexed="81"/>
      <name val="Tahoma"/>
      <family val="2"/>
    </font>
    <font>
      <sz val="11"/>
      <name val="Calibri"/>
      <family val="2"/>
      <scheme val="minor"/>
    </font>
  </fonts>
  <fills count="25">
    <fill>
      <patternFill patternType="none"/>
    </fill>
    <fill>
      <patternFill patternType="gray125"/>
    </fill>
    <fill>
      <patternFill patternType="solid">
        <fgColor rgb="FF4BACC6"/>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55"/>
      </patternFill>
    </fill>
    <fill>
      <patternFill patternType="solid">
        <fgColor indexed="49"/>
      </patternFill>
    </fill>
    <fill>
      <patternFill patternType="solid">
        <fgColor theme="9" tint="0.79998168889431442"/>
        <bgColor indexed="64"/>
      </patternFill>
    </fill>
    <fill>
      <patternFill patternType="solid">
        <fgColor theme="9" tint="-0.249977111117893"/>
        <bgColor indexed="64"/>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3" tint="0.79998168889431442"/>
        <bgColor indexed="64"/>
      </patternFill>
    </fill>
  </fills>
  <borders count="35">
    <border>
      <left/>
      <right/>
      <top/>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1454817346722"/>
      </left>
      <right/>
      <top style="thin">
        <color theme="8" tint="0.39991454817346722"/>
      </top>
      <bottom style="thin">
        <color theme="8" tint="0.39991454817346722"/>
      </bottom>
      <diagonal/>
    </border>
    <border>
      <left/>
      <right/>
      <top style="thin">
        <color theme="8" tint="0.39991454817346722"/>
      </top>
      <bottom style="thin">
        <color theme="8" tint="0.39991454817346722"/>
      </bottom>
      <diagonal/>
    </border>
    <border>
      <left/>
      <right style="thin">
        <color theme="8" tint="0.39991454817346722"/>
      </right>
      <top style="thin">
        <color theme="8" tint="0.39991454817346722"/>
      </top>
      <bottom style="thin">
        <color theme="8" tint="0.39991454817346722"/>
      </bottom>
      <diagonal/>
    </border>
    <border>
      <left style="thin">
        <color theme="8" tint="0.39991454817346722"/>
      </left>
      <right/>
      <top style="thin">
        <color theme="8" tint="0.39991454817346722"/>
      </top>
      <bottom/>
      <diagonal/>
    </border>
    <border>
      <left/>
      <right/>
      <top style="thin">
        <color theme="8" tint="0.39991454817346722"/>
      </top>
      <bottom/>
      <diagonal/>
    </border>
    <border>
      <left style="thin">
        <color theme="8" tint="0.39988402966399123"/>
      </left>
      <right/>
      <top style="thin">
        <color theme="8" tint="0.39988402966399123"/>
      </top>
      <bottom/>
      <diagonal/>
    </border>
    <border>
      <left/>
      <right style="thin">
        <color theme="8" tint="0.39988402966399123"/>
      </right>
      <top style="thin">
        <color theme="8" tint="0.39988402966399123"/>
      </top>
      <bottom/>
      <diagonal/>
    </border>
    <border>
      <left style="thin">
        <color theme="8" tint="0.39991454817346722"/>
      </left>
      <right style="thin">
        <color theme="8" tint="0.39994506668294322"/>
      </right>
      <top style="thin">
        <color theme="8" tint="0.39991454817346722"/>
      </top>
      <bottom style="thin">
        <color theme="8" tint="0.39994506668294322"/>
      </bottom>
      <diagonal/>
    </border>
    <border>
      <left style="thin">
        <color theme="8" tint="0.39994506668294322"/>
      </left>
      <right style="thin">
        <color theme="8" tint="0.39994506668294322"/>
      </right>
      <top style="thin">
        <color theme="8" tint="0.39991454817346722"/>
      </top>
      <bottom style="thin">
        <color theme="8" tint="0.39994506668294322"/>
      </bottom>
      <diagonal/>
    </border>
    <border>
      <left style="thin">
        <color theme="8" tint="0.39994506668294322"/>
      </left>
      <right style="thin">
        <color theme="8" tint="0.39991454817346722"/>
      </right>
      <top style="thin">
        <color theme="8" tint="0.39991454817346722"/>
      </top>
      <bottom style="thin">
        <color theme="8" tint="0.39994506668294322"/>
      </bottom>
      <diagonal/>
    </border>
    <border>
      <left style="thin">
        <color theme="8" tint="0.399914548173467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1454817346722"/>
      </right>
      <top style="thin">
        <color theme="8" tint="0.39994506668294322"/>
      </top>
      <bottom style="thin">
        <color theme="8" tint="0.39994506668294322"/>
      </bottom>
      <diagonal/>
    </border>
    <border>
      <left style="thin">
        <color theme="8" tint="0.39991454817346722"/>
      </left>
      <right style="thin">
        <color theme="8" tint="0.39994506668294322"/>
      </right>
      <top style="thin">
        <color theme="8" tint="0.39994506668294322"/>
      </top>
      <bottom style="thin">
        <color theme="8" tint="0.39991454817346722"/>
      </bottom>
      <diagonal/>
    </border>
    <border>
      <left style="thin">
        <color theme="8" tint="0.39994506668294322"/>
      </left>
      <right style="thin">
        <color theme="8" tint="0.39994506668294322"/>
      </right>
      <top style="thin">
        <color theme="8" tint="0.39994506668294322"/>
      </top>
      <bottom style="thin">
        <color theme="8" tint="0.39991454817346722"/>
      </bottom>
      <diagonal/>
    </border>
    <border>
      <left style="thin">
        <color theme="8" tint="0.39994506668294322"/>
      </left>
      <right style="thin">
        <color theme="8" tint="0.39991454817346722"/>
      </right>
      <top style="thin">
        <color theme="8" tint="0.39994506668294322"/>
      </top>
      <bottom style="thin">
        <color theme="8" tint="0.399914548173467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theme="9" tint="-0.24994659260841701"/>
      </left>
      <right/>
      <top style="double">
        <color theme="9" tint="-0.24994659260841701"/>
      </top>
      <bottom style="double">
        <color theme="9" tint="-0.24994659260841701"/>
      </bottom>
      <diagonal/>
    </border>
    <border>
      <left style="medium">
        <color theme="6" tint="0.79998168889431442"/>
      </left>
      <right/>
      <top style="medium">
        <color theme="6" tint="0.79998168889431442"/>
      </top>
      <bottom style="medium">
        <color theme="6" tint="0.7999816888943144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49"/>
      </top>
      <bottom style="double">
        <color indexed="49"/>
      </bottom>
      <diagonal/>
    </border>
    <border>
      <left/>
      <right/>
      <top/>
      <bottom style="thick">
        <color indexed="49"/>
      </bottom>
      <diagonal/>
    </border>
    <border>
      <left/>
      <right/>
      <top/>
      <bottom style="thick">
        <color indexed="55"/>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s>
  <cellStyleXfs count="153">
    <xf numFmtId="0" fontId="0" fillId="0" borderId="0"/>
    <xf numFmtId="0" fontId="2" fillId="0" borderId="0"/>
    <xf numFmtId="0" fontId="1" fillId="0" borderId="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1" borderId="0" applyNumberFormat="0" applyBorder="0" applyAlignment="0" applyProtection="0">
      <alignment vertical="center"/>
    </xf>
    <xf numFmtId="0" fontId="3" fillId="10"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alignment vertical="center"/>
    </xf>
    <xf numFmtId="0" fontId="3" fillId="13" borderId="0" applyNumberFormat="0" applyBorder="0" applyAlignment="0" applyProtection="0">
      <alignment vertical="center"/>
    </xf>
    <xf numFmtId="0" fontId="3" fillId="11" borderId="0" applyNumberFormat="0" applyBorder="0" applyAlignment="0" applyProtection="0">
      <alignment vertical="center"/>
    </xf>
    <xf numFmtId="0" fontId="3" fillId="16"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4" fillId="17"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9" borderId="0" applyNumberFormat="0" applyBorder="0" applyAlignment="0" applyProtection="0">
      <alignment vertical="center"/>
    </xf>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0" fontId="5" fillId="10" borderId="22" applyNumberFormat="0" applyAlignment="0" applyProtection="0"/>
    <xf numFmtId="164" fontId="6" fillId="0" borderId="0" applyFont="0" applyFill="0" applyBorder="0" applyAlignment="0" applyProtection="0"/>
    <xf numFmtId="0" fontId="7" fillId="18" borderId="23">
      <alignment horizontal="left" vertical="center" indent="1"/>
    </xf>
    <xf numFmtId="0" fontId="8" fillId="19" borderId="24" applyBorder="0">
      <alignment horizontal="left" vertical="center" indent="1"/>
    </xf>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9" fillId="9" borderId="22" applyNumberFormat="0" applyAlignment="0" applyProtection="0"/>
    <xf numFmtId="0" fontId="10" fillId="0" borderId="0"/>
    <xf numFmtId="0" fontId="1" fillId="0" borderId="0"/>
    <xf numFmtId="0" fontId="11" fillId="0" borderId="0">
      <alignment vertical="center"/>
    </xf>
    <xf numFmtId="0" fontId="6" fillId="0" borderId="0"/>
    <xf numFmtId="0" fontId="6" fillId="0" borderId="0"/>
    <xf numFmtId="0" fontId="1" fillId="0" borderId="0"/>
    <xf numFmtId="0" fontId="6" fillId="0" borderId="0"/>
    <xf numFmtId="0" fontId="12" fillId="0" borderId="0"/>
    <xf numFmtId="0" fontId="1" fillId="0" borderId="0"/>
    <xf numFmtId="0" fontId="1" fillId="0" borderId="0"/>
    <xf numFmtId="0" fontId="2" fillId="0" borderId="0"/>
    <xf numFmtId="0" fontId="1" fillId="0" borderId="0"/>
    <xf numFmtId="0" fontId="1" fillId="0" borderId="0"/>
    <xf numFmtId="0" fontId="1" fillId="0" borderId="0"/>
    <xf numFmtId="0" fontId="13" fillId="0" borderId="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2" fillId="11" borderId="25" applyNumberFormat="0" applyFon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0" fontId="14" fillId="10" borderId="26" applyNumberFormat="0" applyAlignment="0" applyProtection="0"/>
    <xf numFmtId="9" fontId="2" fillId="0" borderId="0" applyFont="0" applyFill="0" applyBorder="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5" fillId="0" borderId="27" applyNumberFormat="0" applyFill="0" applyAlignment="0" applyProtection="0"/>
    <xf numFmtId="0" fontId="16" fillId="0" borderId="0"/>
    <xf numFmtId="0" fontId="17" fillId="9" borderId="0" applyNumberFormat="0" applyBorder="0" applyAlignment="0" applyProtection="0">
      <alignment vertical="center"/>
    </xf>
    <xf numFmtId="0" fontId="6" fillId="11" borderId="28" applyNumberFormat="0" applyFont="0" applyAlignment="0" applyProtection="0">
      <alignment vertical="center"/>
    </xf>
    <xf numFmtId="0" fontId="18" fillId="0" borderId="29" applyNumberFormat="0" applyFill="0" applyAlignment="0" applyProtection="0">
      <alignment vertical="center"/>
    </xf>
    <xf numFmtId="0" fontId="19" fillId="5" borderId="0" applyNumberFormat="0" applyBorder="0" applyAlignment="0" applyProtection="0">
      <alignment vertical="center"/>
    </xf>
    <xf numFmtId="0" fontId="20" fillId="6"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30" applyNumberFormat="0" applyFill="0" applyAlignment="0" applyProtection="0">
      <alignment vertical="center"/>
    </xf>
    <xf numFmtId="0" fontId="23" fillId="0" borderId="31" applyNumberFormat="0" applyFill="0" applyAlignment="0" applyProtection="0">
      <alignment vertical="center"/>
    </xf>
    <xf numFmtId="0" fontId="24" fillId="0" borderId="32" applyNumberFormat="0" applyFill="0" applyAlignment="0" applyProtection="0">
      <alignment vertical="center"/>
    </xf>
    <xf numFmtId="0" fontId="24" fillId="0" borderId="0" applyNumberFormat="0" applyFill="0" applyBorder="0" applyAlignment="0" applyProtection="0">
      <alignment vertical="center"/>
    </xf>
    <xf numFmtId="0" fontId="25" fillId="16" borderId="33" applyNumberFormat="0" applyAlignment="0" applyProtection="0">
      <alignment vertical="center"/>
    </xf>
    <xf numFmtId="0" fontId="26" fillId="10" borderId="22" applyNumberForma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17" borderId="0" applyNumberFormat="0" applyBorder="0" applyAlignment="0" applyProtection="0">
      <alignment vertical="center"/>
    </xf>
    <xf numFmtId="0" fontId="4" fillId="23" borderId="0" applyNumberFormat="0" applyBorder="0" applyAlignment="0" applyProtection="0">
      <alignment vertical="center"/>
    </xf>
    <xf numFmtId="0" fontId="29" fillId="9" borderId="22" applyNumberFormat="0" applyAlignment="0" applyProtection="0">
      <alignment vertical="center"/>
    </xf>
    <xf numFmtId="0" fontId="30" fillId="10" borderId="26" applyNumberFormat="0" applyAlignment="0" applyProtection="0">
      <alignment vertical="center"/>
    </xf>
    <xf numFmtId="0" fontId="31" fillId="0" borderId="34" applyNumberFormat="0" applyFill="0" applyAlignment="0" applyProtection="0">
      <alignment vertical="center"/>
    </xf>
  </cellStyleXfs>
  <cellXfs count="66">
    <xf numFmtId="0" fontId="0" fillId="0" borderId="0" xfId="0"/>
    <xf numFmtId="0" fontId="33" fillId="0" borderId="0" xfId="1" applyFont="1"/>
    <xf numFmtId="0" fontId="33" fillId="0" borderId="18" xfId="1" applyFont="1" applyBorder="1" applyAlignment="1">
      <alignment vertical="center"/>
    </xf>
    <xf numFmtId="0" fontId="34" fillId="0" borderId="18" xfId="2" applyFont="1" applyFill="1" applyBorder="1" applyAlignment="1">
      <alignment vertical="center" wrapText="1"/>
    </xf>
    <xf numFmtId="0" fontId="34" fillId="0" borderId="19" xfId="2" applyFont="1" applyBorder="1" applyAlignment="1">
      <alignment horizontal="left" vertical="center" wrapText="1" indent="1"/>
    </xf>
    <xf numFmtId="15" fontId="33" fillId="0" borderId="18" xfId="1" applyNumberFormat="1" applyFont="1" applyBorder="1" applyAlignment="1">
      <alignment horizontal="left" vertical="center" indent="1"/>
    </xf>
    <xf numFmtId="0" fontId="33" fillId="0" borderId="18" xfId="1" applyFont="1" applyBorder="1" applyAlignment="1">
      <alignment horizontal="left" vertical="center" indent="1"/>
    </xf>
    <xf numFmtId="49" fontId="33" fillId="0" borderId="18" xfId="1" applyNumberFormat="1" applyFont="1" applyBorder="1" applyAlignment="1">
      <alignment horizontal="left" vertical="center" indent="1"/>
    </xf>
    <xf numFmtId="0" fontId="34" fillId="0" borderId="6" xfId="0" applyFont="1" applyBorder="1"/>
    <xf numFmtId="0" fontId="35" fillId="0" borderId="7" xfId="0" applyFont="1" applyBorder="1"/>
    <xf numFmtId="0" fontId="34" fillId="0" borderId="7" xfId="0" applyFont="1" applyBorder="1"/>
    <xf numFmtId="0" fontId="34" fillId="0" borderId="0" xfId="0" applyFont="1"/>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4" fillId="0" borderId="0" xfId="0" applyFont="1" applyAlignment="1">
      <alignment horizontal="center"/>
    </xf>
    <xf numFmtId="0" fontId="34" fillId="0" borderId="13" xfId="0" applyFont="1" applyBorder="1" applyAlignment="1">
      <alignment horizontal="center" vertical="center"/>
    </xf>
    <xf numFmtId="0" fontId="34" fillId="0" borderId="1" xfId="0" applyFont="1" applyBorder="1" applyAlignment="1">
      <alignment vertical="center"/>
    </xf>
    <xf numFmtId="0" fontId="34" fillId="0" borderId="1" xfId="0" applyFont="1" applyBorder="1" applyAlignment="1">
      <alignment horizontal="center" vertical="center" wrapText="1"/>
    </xf>
    <xf numFmtId="0" fontId="34" fillId="0" borderId="14" xfId="0" applyFont="1" applyBorder="1" applyAlignment="1">
      <alignment horizontal="center" vertical="center"/>
    </xf>
    <xf numFmtId="0" fontId="34" fillId="0" borderId="0" xfId="0" applyFont="1" applyAlignment="1">
      <alignment horizontal="center" vertical="center"/>
    </xf>
    <xf numFmtId="0" fontId="34" fillId="0" borderId="15" xfId="0" applyFont="1" applyBorder="1" applyAlignment="1">
      <alignment horizontal="center" vertical="center"/>
    </xf>
    <xf numFmtId="0" fontId="34" fillId="0" borderId="16" xfId="0" applyFont="1" applyBorder="1" applyAlignment="1">
      <alignment vertical="center"/>
    </xf>
    <xf numFmtId="0" fontId="34" fillId="0" borderId="16" xfId="0" applyFont="1" applyBorder="1" applyAlignment="1">
      <alignment horizontal="center" vertical="center" wrapText="1"/>
    </xf>
    <xf numFmtId="0" fontId="34" fillId="0" borderId="17" xfId="0" applyFont="1" applyBorder="1" applyAlignment="1">
      <alignment horizontal="center" vertical="center"/>
    </xf>
    <xf numFmtId="0" fontId="34" fillId="0" borderId="0" xfId="0" applyFont="1" applyAlignment="1">
      <alignment vertical="center"/>
    </xf>
    <xf numFmtId="0" fontId="34" fillId="0" borderId="0" xfId="0" applyFont="1" applyAlignment="1">
      <alignment horizontal="center" vertical="center" wrapText="1"/>
    </xf>
    <xf numFmtId="0" fontId="34" fillId="0" borderId="1" xfId="0" applyFont="1" applyBorder="1" applyAlignment="1">
      <alignment horizontal="left" vertical="center" wrapText="1"/>
    </xf>
    <xf numFmtId="0" fontId="34" fillId="0" borderId="16" xfId="0" applyFont="1" applyBorder="1" applyAlignment="1">
      <alignment horizontal="left" vertical="center" wrapText="1"/>
    </xf>
    <xf numFmtId="0" fontId="35" fillId="0" borderId="6" xfId="0" applyFont="1" applyBorder="1"/>
    <xf numFmtId="0" fontId="35" fillId="0" borderId="0" xfId="0" applyFont="1"/>
    <xf numFmtId="0" fontId="34" fillId="0" borderId="16" xfId="0" applyFont="1" applyBorder="1" applyAlignment="1">
      <alignment vertical="center" wrapText="1"/>
    </xf>
    <xf numFmtId="0" fontId="34" fillId="0" borderId="0" xfId="0" applyFont="1" applyAlignment="1">
      <alignment horizontal="left" vertical="center" wrapText="1"/>
    </xf>
    <xf numFmtId="0" fontId="35" fillId="0" borderId="3" xfId="0" applyFont="1" applyBorder="1"/>
    <xf numFmtId="0" fontId="35" fillId="0" borderId="4" xfId="0" applyFont="1" applyBorder="1"/>
    <xf numFmtId="0" fontId="35" fillId="0" borderId="5" xfId="0" applyFont="1" applyBorder="1"/>
    <xf numFmtId="0" fontId="36" fillId="2" borderId="2" xfId="0" applyFont="1" applyFill="1" applyBorder="1" applyAlignment="1">
      <alignment horizontal="center" vertical="center" wrapText="1"/>
    </xf>
    <xf numFmtId="0" fontId="34" fillId="0" borderId="1" xfId="0" applyFont="1" applyBorder="1" applyAlignment="1">
      <alignment horizontal="center" vertical="center"/>
    </xf>
    <xf numFmtId="0" fontId="34" fillId="0" borderId="1" xfId="0" applyFont="1" applyBorder="1" applyAlignment="1">
      <alignment vertical="center" wrapText="1"/>
    </xf>
    <xf numFmtId="0" fontId="34" fillId="0" borderId="1" xfId="0" applyFont="1" applyBorder="1" applyAlignment="1">
      <alignment horizontal="left" vertical="center"/>
    </xf>
    <xf numFmtId="0" fontId="34" fillId="0" borderId="0" xfId="0" applyFont="1" applyAlignment="1">
      <alignment horizontal="left" vertical="center"/>
    </xf>
    <xf numFmtId="0" fontId="35" fillId="3" borderId="1" xfId="0" applyFont="1" applyFill="1" applyBorder="1" applyAlignment="1">
      <alignment horizontal="center" vertical="center"/>
    </xf>
    <xf numFmtId="0" fontId="34" fillId="0" borderId="1" xfId="0" applyFont="1" applyBorder="1" applyAlignment="1">
      <alignment horizontal="left" vertical="center" indent="1"/>
    </xf>
    <xf numFmtId="0" fontId="34" fillId="0" borderId="0" xfId="0" applyFont="1" applyAlignment="1">
      <alignment horizontal="left"/>
    </xf>
    <xf numFmtId="0" fontId="35" fillId="24" borderId="18" xfId="0" applyFont="1" applyFill="1" applyBorder="1" applyAlignment="1">
      <alignment horizontal="left"/>
    </xf>
    <xf numFmtId="0" fontId="35" fillId="24" borderId="18" xfId="0" applyFont="1" applyFill="1" applyBorder="1"/>
    <xf numFmtId="0" fontId="34" fillId="0" borderId="18" xfId="0" applyFont="1" applyBorder="1"/>
    <xf numFmtId="0" fontId="34" fillId="0" borderId="18" xfId="0" applyFont="1" applyBorder="1" applyAlignment="1">
      <alignment horizontal="left"/>
    </xf>
    <xf numFmtId="0" fontId="34" fillId="0" borderId="21" xfId="0" applyFont="1" applyBorder="1"/>
    <xf numFmtId="0" fontId="34" fillId="0" borderId="0" xfId="0" applyFont="1" applyBorder="1"/>
    <xf numFmtId="0" fontId="34" fillId="0" borderId="16" xfId="0" applyFont="1" applyFill="1" applyBorder="1" applyAlignment="1">
      <alignment vertical="center"/>
    </xf>
    <xf numFmtId="0" fontId="40" fillId="0" borderId="18" xfId="0" applyFont="1" applyBorder="1"/>
    <xf numFmtId="0" fontId="37" fillId="0" borderId="18" xfId="1" applyFont="1" applyFill="1" applyBorder="1" applyAlignment="1">
      <alignment horizontal="left" vertical="center" indent="1"/>
    </xf>
    <xf numFmtId="0" fontId="37" fillId="0" borderId="19" xfId="1" applyFont="1" applyFill="1" applyBorder="1" applyAlignment="1">
      <alignment horizontal="left" vertical="center"/>
    </xf>
    <xf numFmtId="0" fontId="37" fillId="0" borderId="20" xfId="1" applyFont="1" applyFill="1" applyBorder="1" applyAlignment="1">
      <alignment horizontal="left" vertical="center"/>
    </xf>
    <xf numFmtId="0" fontId="37" fillId="0" borderId="21" xfId="1" applyFont="1" applyFill="1" applyBorder="1" applyAlignment="1">
      <alignment horizontal="left" vertical="center"/>
    </xf>
    <xf numFmtId="0" fontId="37" fillId="0" borderId="19" xfId="1" applyFont="1" applyFill="1" applyBorder="1" applyAlignment="1">
      <alignment horizontal="left" vertical="center" indent="1"/>
    </xf>
    <xf numFmtId="0" fontId="37" fillId="0" borderId="20" xfId="1" applyFont="1" applyFill="1" applyBorder="1" applyAlignment="1">
      <alignment horizontal="left" vertical="center" indent="1"/>
    </xf>
    <xf numFmtId="0" fontId="37" fillId="0" borderId="21" xfId="1" applyFont="1" applyFill="1" applyBorder="1" applyAlignment="1">
      <alignment horizontal="left" vertical="center" indent="1"/>
    </xf>
    <xf numFmtId="0" fontId="33" fillId="0" borderId="18" xfId="1" applyFont="1" applyBorder="1" applyAlignment="1">
      <alignment horizontal="left" vertical="center" indent="1"/>
    </xf>
    <xf numFmtId="0" fontId="35" fillId="3" borderId="3" xfId="0" applyFont="1" applyFill="1" applyBorder="1" applyAlignment="1">
      <alignment horizontal="center" vertical="center"/>
    </xf>
    <xf numFmtId="0" fontId="35" fillId="3" borderId="4" xfId="0" applyFont="1" applyFill="1" applyBorder="1" applyAlignment="1">
      <alignment horizontal="center" vertical="center"/>
    </xf>
    <xf numFmtId="0" fontId="35" fillId="3" borderId="5" xfId="0" applyFont="1" applyFill="1" applyBorder="1" applyAlignment="1">
      <alignment horizontal="center" vertical="center"/>
    </xf>
    <xf numFmtId="0" fontId="35" fillId="3" borderId="8" xfId="0" applyFont="1" applyFill="1" applyBorder="1" applyAlignment="1">
      <alignment horizontal="center" vertical="center"/>
    </xf>
    <xf numFmtId="0" fontId="35" fillId="3" borderId="9" xfId="0" applyFont="1" applyFill="1" applyBorder="1" applyAlignment="1">
      <alignment horizontal="center" vertical="center"/>
    </xf>
    <xf numFmtId="0" fontId="32" fillId="0" borderId="0" xfId="0" applyFont="1" applyAlignment="1">
      <alignment horizontal="left"/>
    </xf>
  </cellXfs>
  <cellStyles count="153">
    <cellStyle name="20% - Accent1 2" xfId="3"/>
    <cellStyle name="20% - Accent1 3" xfId="4"/>
    <cellStyle name="20% - Accent2 2" xfId="5"/>
    <cellStyle name="20% - Accent2 3" xfId="6"/>
    <cellStyle name="20% - Accent3 2" xfId="7"/>
    <cellStyle name="20% - Accent3 3" xfId="8"/>
    <cellStyle name="20% - Accent4 2" xfId="9"/>
    <cellStyle name="20% - Accent4 3" xfId="10"/>
    <cellStyle name="20% - Accent5 2" xfId="11"/>
    <cellStyle name="20% - Accent5 3" xfId="12"/>
    <cellStyle name="20% - Accent6 2" xfId="13"/>
    <cellStyle name="20% - Accent6 3" xfId="14"/>
    <cellStyle name="20% - 輔色1" xfId="15"/>
    <cellStyle name="20% - 輔色2" xfId="16"/>
    <cellStyle name="20% - 輔色3" xfId="17"/>
    <cellStyle name="20% - 輔色4" xfId="18"/>
    <cellStyle name="20% - 輔色5" xfId="19"/>
    <cellStyle name="20% - 輔色6" xfId="20"/>
    <cellStyle name="40% - Accent1 2" xfId="21"/>
    <cellStyle name="40% - Accent1 3" xfId="22"/>
    <cellStyle name="40% - Accent2 2" xfId="23"/>
    <cellStyle name="40% - Accent2 3" xfId="24"/>
    <cellStyle name="40% - Accent3 2" xfId="25"/>
    <cellStyle name="40% - Accent3 3" xfId="26"/>
    <cellStyle name="40% - Accent4 2" xfId="27"/>
    <cellStyle name="40% - Accent4 3" xfId="28"/>
    <cellStyle name="40% - Accent5 2" xfId="29"/>
    <cellStyle name="40% - Accent5 3" xfId="30"/>
    <cellStyle name="40% - Accent6 2" xfId="31"/>
    <cellStyle name="40% - Accent6 3" xfId="32"/>
    <cellStyle name="40% - 輔色1" xfId="33"/>
    <cellStyle name="40% - 輔色2" xfId="34"/>
    <cellStyle name="40% - 輔色3" xfId="35"/>
    <cellStyle name="40% - 輔色4" xfId="36"/>
    <cellStyle name="40% - 輔色5" xfId="37"/>
    <cellStyle name="40% - 輔色6" xfId="38"/>
    <cellStyle name="60% - 輔色1" xfId="39"/>
    <cellStyle name="60% - 輔色2" xfId="40"/>
    <cellStyle name="60% - 輔色3" xfId="41"/>
    <cellStyle name="60% - 輔色4" xfId="42"/>
    <cellStyle name="60% - 輔色5" xfId="43"/>
    <cellStyle name="60% - 輔色6" xfId="44"/>
    <cellStyle name="Calculation 2" xfId="45"/>
    <cellStyle name="Calculation 2 10" xfId="46"/>
    <cellStyle name="Calculation 2 11" xfId="47"/>
    <cellStyle name="Calculation 2 12" xfId="48"/>
    <cellStyle name="Calculation 2 2" xfId="49"/>
    <cellStyle name="Calculation 2 3" xfId="50"/>
    <cellStyle name="Calculation 2 4" xfId="51"/>
    <cellStyle name="Calculation 2 5" xfId="52"/>
    <cellStyle name="Calculation 2 6" xfId="53"/>
    <cellStyle name="Calculation 2 7" xfId="54"/>
    <cellStyle name="Calculation 2 8" xfId="55"/>
    <cellStyle name="Calculation 2 9" xfId="56"/>
    <cellStyle name="Calculation 3" xfId="57"/>
    <cellStyle name="Euro" xfId="58"/>
    <cellStyle name="Head 01" xfId="59"/>
    <cellStyle name="Head-01" xfId="60"/>
    <cellStyle name="Input 2" xfId="61"/>
    <cellStyle name="Input 2 10" xfId="62"/>
    <cellStyle name="Input 2 11" xfId="63"/>
    <cellStyle name="Input 2 12" xfId="64"/>
    <cellStyle name="Input 2 2" xfId="65"/>
    <cellStyle name="Input 2 3" xfId="66"/>
    <cellStyle name="Input 2 4" xfId="67"/>
    <cellStyle name="Input 2 5" xfId="68"/>
    <cellStyle name="Input 2 6" xfId="69"/>
    <cellStyle name="Input 2 7" xfId="70"/>
    <cellStyle name="Input 2 8" xfId="71"/>
    <cellStyle name="Input 2 9" xfId="72"/>
    <cellStyle name="Input 3" xfId="73"/>
    <cellStyle name="Normal" xfId="0" builtinId="0"/>
    <cellStyle name="Normal 18" xfId="74"/>
    <cellStyle name="Normal 2" xfId="75"/>
    <cellStyle name="Normal 2 2" xfId="76"/>
    <cellStyle name="Normal 2 2 2" xfId="77"/>
    <cellStyle name="Normal 2 3" xfId="78"/>
    <cellStyle name="Normal 2 4" xfId="1"/>
    <cellStyle name="Normal 2 5" xfId="79"/>
    <cellStyle name="Normal 2 5 2" xfId="2"/>
    <cellStyle name="Normal 3" xfId="80"/>
    <cellStyle name="Normal 3 2" xfId="81"/>
    <cellStyle name="Normal 4" xfId="82"/>
    <cellStyle name="Normal 4 2" xfId="83"/>
    <cellStyle name="Normal 5" xfId="84"/>
    <cellStyle name="Normal 6" xfId="85"/>
    <cellStyle name="Normal 7" xfId="86"/>
    <cellStyle name="Normal 8" xfId="87"/>
    <cellStyle name="Normal 9" xfId="88"/>
    <cellStyle name="Note 2" xfId="89"/>
    <cellStyle name="Note 2 10" xfId="90"/>
    <cellStyle name="Note 2 11" xfId="91"/>
    <cellStyle name="Note 2 12" xfId="92"/>
    <cellStyle name="Note 2 2" xfId="93"/>
    <cellStyle name="Note 2 3" xfId="94"/>
    <cellStyle name="Note 2 4" xfId="95"/>
    <cellStyle name="Note 2 5" xfId="96"/>
    <cellStyle name="Note 2 6" xfId="97"/>
    <cellStyle name="Note 2 7" xfId="98"/>
    <cellStyle name="Note 2 8" xfId="99"/>
    <cellStyle name="Note 2 9" xfId="100"/>
    <cellStyle name="Note 3" xfId="101"/>
    <cellStyle name="Output 2" xfId="102"/>
    <cellStyle name="Output 2 10" xfId="103"/>
    <cellStyle name="Output 2 11" xfId="104"/>
    <cellStyle name="Output 2 12" xfId="105"/>
    <cellStyle name="Output 2 2" xfId="106"/>
    <cellStyle name="Output 2 3" xfId="107"/>
    <cellStyle name="Output 2 4" xfId="108"/>
    <cellStyle name="Output 2 5" xfId="109"/>
    <cellStyle name="Output 2 6" xfId="110"/>
    <cellStyle name="Output 2 7" xfId="111"/>
    <cellStyle name="Output 2 8" xfId="112"/>
    <cellStyle name="Output 2 9" xfId="113"/>
    <cellStyle name="Output 3" xfId="114"/>
    <cellStyle name="Percent 2" xfId="115"/>
    <cellStyle name="Total 2" xfId="116"/>
    <cellStyle name="Total 2 10" xfId="117"/>
    <cellStyle name="Total 2 11" xfId="118"/>
    <cellStyle name="Total 2 12" xfId="119"/>
    <cellStyle name="Total 2 2" xfId="120"/>
    <cellStyle name="Total 2 3" xfId="121"/>
    <cellStyle name="Total 2 4" xfId="122"/>
    <cellStyle name="Total 2 5" xfId="123"/>
    <cellStyle name="Total 2 6" xfId="124"/>
    <cellStyle name="Total 2 7" xfId="125"/>
    <cellStyle name="Total 2 8" xfId="126"/>
    <cellStyle name="Total 2 9" xfId="127"/>
    <cellStyle name="Total 3" xfId="128"/>
    <cellStyle name="一般_Recovery Timeframe" xfId="129"/>
    <cellStyle name="中等" xfId="130"/>
    <cellStyle name="備註" xfId="131"/>
    <cellStyle name="合計" xfId="132"/>
    <cellStyle name="壞" xfId="133"/>
    <cellStyle name="好" xfId="134"/>
    <cellStyle name="標題" xfId="135"/>
    <cellStyle name="標題 1" xfId="136"/>
    <cellStyle name="標題 2" xfId="137"/>
    <cellStyle name="標題 3" xfId="138"/>
    <cellStyle name="標題 4" xfId="139"/>
    <cellStyle name="檢查儲存格" xfId="140"/>
    <cellStyle name="計算方式" xfId="141"/>
    <cellStyle name="說明文字" xfId="142"/>
    <cellStyle name="警告文字" xfId="143"/>
    <cellStyle name="輔色1" xfId="144"/>
    <cellStyle name="輔色2" xfId="145"/>
    <cellStyle name="輔色3" xfId="146"/>
    <cellStyle name="輔色4" xfId="147"/>
    <cellStyle name="輔色5" xfId="148"/>
    <cellStyle name="輔色6" xfId="149"/>
    <cellStyle name="輸入" xfId="150"/>
    <cellStyle name="輸出" xfId="151"/>
    <cellStyle name="連結的儲存格" xfId="1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im10\Documents\MyActiveWorkFiles\Projects%202019\SG\QuESH%20(BLS)\QuESH%20BLS%20project%20docs\BLS%20ISMS\BLS%20ISMS%20RA&amp;RTP%2020190507-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lim10\Documents\MyActiveWorkInfo\MRC%20Projects%202017\DODID\Dodid%20SS507\SS507%20docs%20WIP\Dodid%20SS507-BCM%20RA%2020181221-3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lim10\AppData\Local\Temp\OneNote\14.0\NT\108\20131219%20ISMS%20A2_RA%20treatment%20Ngai%20He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A-RTP (2)"/>
      <sheetName val="Assets (2)"/>
      <sheetName val="RA-RTP"/>
      <sheetName val="Assets"/>
      <sheetName val="Master list"/>
      <sheetName val="Threats"/>
      <sheetName val="Vulnerabilities"/>
      <sheetName val="Owners"/>
      <sheetName val="Impact"/>
      <sheetName val="Likelihood"/>
      <sheetName val="Acceptance"/>
      <sheetName val="Controls"/>
      <sheetName val="RTP Options"/>
      <sheetName val="RTP status"/>
      <sheetName val="DCFM-assets-3Dec"/>
    </sheetNames>
    <sheetDataSet>
      <sheetData sheetId="0" refreshError="1"/>
      <sheetData sheetId="1" refreshError="1"/>
      <sheetData sheetId="2" refreshError="1"/>
      <sheetData sheetId="3" refreshError="1"/>
      <sheetData sheetId="4">
        <row r="2">
          <cell r="A2" t="str">
            <v>Email server</v>
          </cell>
        </row>
        <row r="3">
          <cell r="A3" t="str">
            <v>BMS main server</v>
          </cell>
        </row>
        <row r="4">
          <cell r="A4" t="str">
            <v>BMS workstation</v>
          </cell>
        </row>
        <row r="5">
          <cell r="A5" t="str">
            <v>Office Work PC</v>
          </cell>
        </row>
        <row r="6">
          <cell r="A6" t="str">
            <v>Firewall</v>
          </cell>
        </row>
        <row r="7">
          <cell r="A7" t="str">
            <v>Router</v>
          </cell>
        </row>
        <row r="8">
          <cell r="A8" t="str">
            <v>NAS</v>
          </cell>
        </row>
        <row r="9">
          <cell r="A9" t="str">
            <v>ACS-CCTV server</v>
          </cell>
        </row>
        <row r="10">
          <cell r="A10" t="str">
            <v>ACS-CCTV core switch</v>
          </cell>
        </row>
        <row r="11">
          <cell r="A11" t="str">
            <v>Chiller System Server</v>
          </cell>
        </row>
        <row r="12">
          <cell r="A12" t="str">
            <v>ACS-CCTV POE switch</v>
          </cell>
        </row>
        <row r="13">
          <cell r="A13" t="str">
            <v>EVMS server</v>
          </cell>
        </row>
        <row r="14">
          <cell r="A14" t="str">
            <v>EVMS Workstation</v>
          </cell>
        </row>
        <row r="15">
          <cell r="A15" t="str">
            <v>Fire Alarm Monitoring System</v>
          </cell>
        </row>
        <row r="16">
          <cell r="A16" t="str">
            <v>CCTV cameras</v>
          </cell>
        </row>
        <row r="17">
          <cell r="A17" t="str">
            <v>ACS and CCTV Workstation</v>
          </cell>
        </row>
        <row r="18">
          <cell r="A18" t="str">
            <v>ACS Card Access  Printing</v>
          </cell>
        </row>
        <row r="19">
          <cell r="A19" t="str">
            <v>Call Center PC</v>
          </cell>
        </row>
        <row r="20">
          <cell r="A20" t="str">
            <v>Call Center Recording</v>
          </cell>
        </row>
        <row r="21">
          <cell r="A21" t="str">
            <v>CCTV recording storage</v>
          </cell>
        </row>
        <row r="22">
          <cell r="A22" t="str">
            <v>CMMS Work Station</v>
          </cell>
        </row>
        <row r="23">
          <cell r="A23" t="str">
            <v>Chiller System BMS Workstation</v>
          </cell>
        </row>
        <row r="24">
          <cell r="A24" t="str">
            <v>Guard Tour Workstation</v>
          </cell>
        </row>
        <row r="25">
          <cell r="A25" t="str">
            <v>Shift Tech Common PC</v>
          </cell>
        </row>
        <row r="26">
          <cell r="A26" t="str">
            <v>UPS Battery Monitoring System</v>
          </cell>
        </row>
        <row r="27">
          <cell r="A27" t="str">
            <v>Paper-based documents</v>
          </cell>
        </row>
        <row r="28">
          <cell r="A28" t="str">
            <v>Digitized documents</v>
          </cell>
        </row>
        <row r="29">
          <cell r="A29" t="str">
            <v>Employees</v>
          </cell>
        </row>
        <row r="30">
          <cell r="A30" t="str">
            <v>Contractor staff</v>
          </cell>
        </row>
        <row r="31">
          <cell r="A31" t="str">
            <v>Software applications</v>
          </cell>
        </row>
        <row r="32">
          <cell r="A32" t="str">
            <v>Database files and records</v>
          </cell>
        </row>
        <row r="33">
          <cell r="A33" t="str">
            <v>Infrastructure</v>
          </cell>
        </row>
        <row r="34">
          <cell r="A34" t="str">
            <v>Outsourced processes &amp; services</v>
          </cell>
        </row>
      </sheetData>
      <sheetData sheetId="5">
        <row r="2">
          <cell r="E2" t="str">
            <v>Information Security Policy (ISMS-01)</v>
          </cell>
        </row>
        <row r="3">
          <cell r="E3" t="str">
            <v>Risk Assessment and Treatment Methodology (ISMS-02)</v>
          </cell>
        </row>
        <row r="4">
          <cell r="E4" t="str">
            <v>Procedures for Document and Record Control (ISMS-03)</v>
          </cell>
        </row>
        <row r="5">
          <cell r="E5" t="str">
            <v>Procedures for Identification of Requirements (ISMS-04)</v>
          </cell>
        </row>
        <row r="6">
          <cell r="E6" t="str">
            <v>Procedure for Internal Audit (ISMS-05)</v>
          </cell>
        </row>
        <row r="7">
          <cell r="E7" t="str">
            <v>Procedure for Corrective Action (ISMS-06)</v>
          </cell>
        </row>
        <row r="8">
          <cell r="E8" t="str">
            <v>Secure Development Policy (ISMS-07)</v>
          </cell>
        </row>
        <row r="9">
          <cell r="E9" t="str">
            <v>Supplier Security Policy (ISMS-08)</v>
          </cell>
        </row>
        <row r="10">
          <cell r="E10" t="str">
            <v>Policy on the Use of Cryptographic Controls (ISMS-09)</v>
          </cell>
        </row>
        <row r="11">
          <cell r="E11" t="str">
            <v>Clear Desk and Clear Screen Policy (ISMS-10)</v>
          </cell>
        </row>
        <row r="12">
          <cell r="E12" t="str">
            <v>Disposal and Destruction Policy (ISMS-11)</v>
          </cell>
        </row>
        <row r="13">
          <cell r="E13" t="str">
            <v>Procedures for Working in Secure Areas (ISMS-12)</v>
          </cell>
        </row>
        <row r="14">
          <cell r="E14" t="str">
            <v>Incident Management Procedure (ISMS-13)</v>
          </cell>
        </row>
        <row r="15">
          <cell r="E15" t="str">
            <v>Operating Procedures for Information and Communication Technology (ISMS-14)</v>
          </cell>
        </row>
        <row r="16">
          <cell r="E16" t="str">
            <v>Business Continuity Plan (BCP-01)</v>
          </cell>
        </row>
        <row r="17">
          <cell r="E17" t="str">
            <v>Statement of Applicability</v>
          </cell>
        </row>
        <row r="18">
          <cell r="E18" t="str">
            <v>Assets inventory list</v>
          </cell>
        </row>
        <row r="19">
          <cell r="E19" t="str">
            <v>Policy statement</v>
          </cell>
        </row>
        <row r="20">
          <cell r="E20" t="str">
            <v>Identification of requirements (appendix 5)</v>
          </cell>
        </row>
        <row r="21">
          <cell r="E21" t="str">
            <v>Risk Assessment Table (electronic form – Excel document)</v>
          </cell>
        </row>
        <row r="22">
          <cell r="E22" t="str">
            <v>Risk  Assessment Report</v>
          </cell>
        </row>
        <row r="23">
          <cell r="E23" t="str">
            <v>Risk Treatment Table (electronic form – Excel document)</v>
          </cell>
        </row>
        <row r="24">
          <cell r="E24" t="str">
            <v>Risk Assessment and Treatment Report (electronic form – PDF format)</v>
          </cell>
        </row>
        <row r="25">
          <cell r="E25" t="str">
            <v>Statement of Applicability (electronic form – PDF format)</v>
          </cell>
        </row>
        <row r="26">
          <cell r="E26" t="str">
            <v>Risk treatment plan (electronic form – Word document)</v>
          </cell>
        </row>
        <row r="27">
          <cell r="E27" t="str">
            <v>Management review meeting summary</v>
          </cell>
        </row>
        <row r="28">
          <cell r="E28" t="str">
            <v>Management review meeting minutes</v>
          </cell>
        </row>
        <row r="29">
          <cell r="E29" t="str">
            <v>Internal audit program</v>
          </cell>
        </row>
        <row r="30">
          <cell r="E30" t="str">
            <v>Internal audit checklist</v>
          </cell>
        </row>
        <row r="31">
          <cell r="E31" t="str">
            <v>Internal audit report</v>
          </cell>
        </row>
        <row r="32">
          <cell r="E32" t="str">
            <v>Corrective actions record</v>
          </cell>
        </row>
        <row r="33">
          <cell r="E33" t="str">
            <v>Training feedback and evaluation records</v>
          </cell>
        </row>
        <row r="34">
          <cell r="E34" t="str">
            <v>Criteria for classification of information</v>
          </cell>
        </row>
        <row r="35">
          <cell r="E35" t="str">
            <v>Legal register</v>
          </cell>
        </row>
        <row r="36">
          <cell r="E36" t="str">
            <v>Procedures for ACMV system maintenance (SOP-01)</v>
          </cell>
        </row>
        <row r="37">
          <cell r="E37" t="str">
            <v>Procedures for power failure (SOP-02)</v>
          </cell>
        </row>
        <row r="38">
          <cell r="E38" t="str">
            <v>Procedures for deployment of work (SOP-03)</v>
          </cell>
        </row>
        <row r="39">
          <cell r="E39" t="str">
            <v>Procedures for electrical maintenance (SOP-04)</v>
          </cell>
        </row>
      </sheetData>
      <sheetData sheetId="6">
        <row r="5">
          <cell r="B5" t="str">
            <v>accidental change of information system data</v>
          </cell>
        </row>
        <row r="6">
          <cell r="B6" t="str">
            <v>application errors</v>
          </cell>
        </row>
        <row r="7">
          <cell r="B7" t="str">
            <v>bomb attack</v>
          </cell>
        </row>
        <row r="8">
          <cell r="B8" t="str">
            <v>bomb threat</v>
          </cell>
        </row>
        <row r="9">
          <cell r="B9" t="str">
            <v>breach of contractual relations</v>
          </cell>
        </row>
        <row r="10">
          <cell r="B10" t="str">
            <v>breach of legislation</v>
          </cell>
        </row>
        <row r="11">
          <cell r="B11" t="str">
            <v>breakdown of communication links</v>
          </cell>
        </row>
        <row r="12">
          <cell r="B12" t="str">
            <v>concealing user identity</v>
          </cell>
        </row>
        <row r="13">
          <cell r="B13" t="str">
            <v>damage caused by third-party activities</v>
          </cell>
        </row>
        <row r="14">
          <cell r="B14" t="str">
            <v>damage incurred during penetration testing</v>
          </cell>
        </row>
        <row r="15">
          <cell r="B15" t="str">
            <v>destruction of records</v>
          </cell>
        </row>
        <row r="16">
          <cell r="B16" t="str">
            <v>deterioration of media</v>
          </cell>
        </row>
        <row r="17">
          <cell r="B17" t="str">
            <v>disclosure of passwords</v>
          </cell>
        </row>
        <row r="18">
          <cell r="B18" t="str">
            <v>eavesdropping</v>
          </cell>
        </row>
        <row r="19">
          <cell r="B19" t="str">
            <v>embezzlement</v>
          </cell>
        </row>
        <row r="20">
          <cell r="B20" t="str">
            <v>equipment failure</v>
          </cell>
        </row>
        <row r="21">
          <cell r="B21" t="str">
            <v>falsification of records</v>
          </cell>
        </row>
        <row r="22">
          <cell r="B22" t="str">
            <v>fire</v>
          </cell>
        </row>
        <row r="23">
          <cell r="B23" t="str">
            <v>flood</v>
          </cell>
        </row>
        <row r="24">
          <cell r="B24" t="str">
            <v>fraud</v>
          </cell>
        </row>
        <row r="25">
          <cell r="B25" t="str">
            <v>hacking or virus attack</v>
          </cell>
        </row>
        <row r="26">
          <cell r="B26" t="str">
            <v>industrial espionage</v>
          </cell>
        </row>
        <row r="27">
          <cell r="B27" t="str">
            <v>information interception</v>
          </cell>
        </row>
        <row r="28">
          <cell r="B28" t="str">
            <v>interruption of power supply</v>
          </cell>
        </row>
        <row r="29">
          <cell r="B29" t="str">
            <v>leakage/disclosure of information</v>
          </cell>
        </row>
        <row r="30">
          <cell r="B30" t="str">
            <v>loss of support services</v>
          </cell>
        </row>
        <row r="31">
          <cell r="B31" t="str">
            <v>maintenance errors</v>
          </cell>
        </row>
        <row r="32">
          <cell r="B32" t="str">
            <v>malicious code</v>
          </cell>
        </row>
        <row r="33">
          <cell r="B33" t="str">
            <v>misuse of audit tools</v>
          </cell>
        </row>
        <row r="34">
          <cell r="B34" t="str">
            <v>misuse of information systems</v>
          </cell>
        </row>
        <row r="35">
          <cell r="B35" t="str">
            <v>other disasters (man-made)</v>
          </cell>
        </row>
        <row r="36">
          <cell r="B36" t="str">
            <v>other disasters (natural)</v>
          </cell>
        </row>
        <row r="37">
          <cell r="B37" t="str">
            <v>pollution</v>
          </cell>
        </row>
        <row r="38">
          <cell r="B38" t="str">
            <v>social engineering</v>
          </cell>
        </row>
        <row r="39">
          <cell r="B39" t="str">
            <v>strike</v>
          </cell>
        </row>
        <row r="40">
          <cell r="B40" t="str">
            <v>lightning strike</v>
          </cell>
        </row>
        <row r="41">
          <cell r="B41" t="str">
            <v>terrorist attacks</v>
          </cell>
        </row>
        <row r="42">
          <cell r="B42" t="str">
            <v>theft</v>
          </cell>
        </row>
        <row r="43">
          <cell r="B43" t="str">
            <v>unauthorized access to the information system</v>
          </cell>
        </row>
        <row r="44">
          <cell r="B44" t="str">
            <v>unauthorized change of records</v>
          </cell>
        </row>
        <row r="45">
          <cell r="B45" t="str">
            <v>unauthorized installation of software</v>
          </cell>
        </row>
        <row r="46">
          <cell r="B46" t="str">
            <v>unauthorized network access</v>
          </cell>
        </row>
        <row r="47">
          <cell r="B47" t="str">
            <v>unauthorized physical access</v>
          </cell>
        </row>
        <row r="48">
          <cell r="B48" t="str">
            <v>unauthorized use of licensed materials</v>
          </cell>
        </row>
        <row r="49">
          <cell r="B49" t="str">
            <v>unauthorized use of software</v>
          </cell>
        </row>
        <row r="50">
          <cell r="B50" t="str">
            <v>use of unauthorized or untested code</v>
          </cell>
        </row>
        <row r="51">
          <cell r="B51" t="str">
            <v>user error</v>
          </cell>
        </row>
        <row r="52">
          <cell r="B52" t="str">
            <v>vandalism</v>
          </cell>
        </row>
        <row r="53">
          <cell r="B53" t="str">
            <v>Spill sensitive information</v>
          </cell>
        </row>
        <row r="54">
          <cell r="B54" t="str">
            <v>Mishandling of critical and/or sensitive information by authorized users</v>
          </cell>
        </row>
        <row r="55">
          <cell r="B55" t="str">
            <v>Incorrect privilege settings</v>
          </cell>
        </row>
        <row r="56">
          <cell r="B56" t="str">
            <v>Communications contention</v>
          </cell>
        </row>
        <row r="57">
          <cell r="B57" t="str">
            <v>Unreadable display</v>
          </cell>
        </row>
        <row r="58">
          <cell r="B58" t="str">
            <v>Earthquake at primary facility</v>
          </cell>
        </row>
        <row r="59">
          <cell r="B59" t="str">
            <v>Fire at primary facility</v>
          </cell>
        </row>
        <row r="60">
          <cell r="B60" t="str">
            <v>Fire at backup facility</v>
          </cell>
        </row>
        <row r="61">
          <cell r="B61" t="str">
            <v>Resource depletion</v>
          </cell>
        </row>
        <row r="62">
          <cell r="B62" t="str">
            <v>Introduction of vulnerabilities into software products</v>
          </cell>
        </row>
        <row r="63">
          <cell r="B63" t="str">
            <v>Disk error</v>
          </cell>
        </row>
        <row r="64">
          <cell r="B64" t="str">
            <v>Pervasive disk error</v>
          </cell>
        </row>
        <row r="65">
          <cell r="B65" t="str">
            <v>Perform perimeter network reconnaissance/scanning</v>
          </cell>
        </row>
        <row r="66">
          <cell r="B66" t="str">
            <v>Perform network sniffing of exposed networks</v>
          </cell>
        </row>
        <row r="67">
          <cell r="B67" t="str">
            <v>Gather information using open source discovery of organizational information</v>
          </cell>
        </row>
        <row r="68">
          <cell r="B68" t="str">
            <v>Perform reconnaissance and surveillance of targeted organizations</v>
          </cell>
        </row>
        <row r="69">
          <cell r="B69" t="str">
            <v>Perform malware-directed internal reconnaissance</v>
          </cell>
        </row>
        <row r="70">
          <cell r="B70" t="str">
            <v>Craft phishing attacks</v>
          </cell>
        </row>
        <row r="71">
          <cell r="B71" t="str">
            <v>Craft spear phishing attacks</v>
          </cell>
        </row>
        <row r="72">
          <cell r="B72" t="str">
            <v>Craft attacks specifically based on deployed information technology environment</v>
          </cell>
        </row>
        <row r="73">
          <cell r="B73" t="str">
            <v>Create counterfeit/spoof website</v>
          </cell>
        </row>
        <row r="74">
          <cell r="B74" t="str">
            <v>Craft counterfeit certificates</v>
          </cell>
        </row>
        <row r="75">
          <cell r="B75" t="str">
            <v>Create and operate false front organizations to inject malicious components into the supply chain</v>
          </cell>
        </row>
        <row r="76">
          <cell r="B76" t="str">
            <v>Deliver known malware to internal organizational information systems (e.g., virus via email)</v>
          </cell>
        </row>
        <row r="77">
          <cell r="B77" t="str">
            <v>Deliver modified malware to internal organizational information systems</v>
          </cell>
        </row>
        <row r="78">
          <cell r="B78" t="str">
            <v>Deliver targeted malware for control of internal systems and exfiltration of data</v>
          </cell>
        </row>
        <row r="79">
          <cell r="B79" t="str">
            <v>Deliver malware by providing removable media</v>
          </cell>
        </row>
        <row r="80">
          <cell r="B80" t="str">
            <v>Insert untargeted malware into downloadable software and/or into commercial information technology products</v>
          </cell>
        </row>
        <row r="81">
          <cell r="B81" t="str">
            <v>Insert targeted malware into organizational information systems and information system components</v>
          </cell>
        </row>
        <row r="82">
          <cell r="B82" t="str">
            <v>Insert specialized malware into organizational information systems based on system configurations</v>
          </cell>
        </row>
        <row r="83">
          <cell r="B83" t="str">
            <v>Insert counterfeit or tampered hardware into the supply chain</v>
          </cell>
        </row>
        <row r="84">
          <cell r="B84" t="str">
            <v>Insert tampered critical components into organizational systems</v>
          </cell>
        </row>
        <row r="85">
          <cell r="B85" t="str">
            <v>Install general-purpose sniffers on organization-controlled information systems or networks</v>
          </cell>
        </row>
        <row r="86">
          <cell r="B86" t="str">
            <v>Install persistent and targeted sniffers on organizational information systems and networks</v>
          </cell>
        </row>
        <row r="87">
          <cell r="B87" t="str">
            <v>Insert malicious scanning devices (e.g., wireless sniffers) inside facilities</v>
          </cell>
        </row>
        <row r="88">
          <cell r="B88" t="str">
            <v>Insert subverted individuals into organizations</v>
          </cell>
        </row>
        <row r="89">
          <cell r="B89" t="str">
            <v>Insert subverted individuals into privileged positions in organizations</v>
          </cell>
        </row>
        <row r="90">
          <cell r="B90" t="str">
            <v>Exploit physical access of authorized staff to gain access to organizational facilities</v>
          </cell>
        </row>
        <row r="91">
          <cell r="B91" t="str">
            <v>Exploit poorly configured or unauthorized information systems exposed to the Internet</v>
          </cell>
        </row>
        <row r="92">
          <cell r="B92" t="str">
            <v>Exploit split tunneling</v>
          </cell>
        </row>
        <row r="93">
          <cell r="B93" t="str">
            <v>Exploit multi-tenancy in a cloud environment</v>
          </cell>
        </row>
        <row r="94">
          <cell r="B94" t="str">
            <v>Exploit known vulnerabilities in mobile systems (e.g., laptops, PDAs, smart phones)</v>
          </cell>
        </row>
        <row r="95">
          <cell r="B95" t="str">
            <v>Exploit recently discovered vulnerabilities</v>
          </cell>
        </row>
        <row r="96">
          <cell r="B96" t="str">
            <v>Exploit vulnerabilities on internal organizational information systems</v>
          </cell>
        </row>
        <row r="97">
          <cell r="B97" t="str">
            <v>Exploit vulnerabilities using zero-day attacks</v>
          </cell>
        </row>
        <row r="98">
          <cell r="B98" t="str">
            <v>Exploit vulnerabilities in information systems timed with organizational mission/business operations tempo</v>
          </cell>
        </row>
        <row r="99">
          <cell r="B99" t="str">
            <v>Exploit insecure or incomplete data deletion in multi-tenant environment</v>
          </cell>
        </row>
        <row r="100">
          <cell r="B100" t="str">
            <v>Violate isolation in multi-tenant environment</v>
          </cell>
        </row>
        <row r="101">
          <cell r="B101" t="str">
            <v>Compromise critical information systems via physical access</v>
          </cell>
        </row>
        <row r="102">
          <cell r="B102" t="str">
            <v>Compromise information systems or devices used externally and reintroduced into the enterprise</v>
          </cell>
        </row>
        <row r="103">
          <cell r="B103" t="str">
            <v>Compromise software of organizational critical information systems</v>
          </cell>
        </row>
        <row r="104">
          <cell r="B104" t="str">
            <v>Compromise organizational information systems to facilitate exfiltration of data/information</v>
          </cell>
        </row>
        <row r="105">
          <cell r="B105" t="str">
            <v>Compromise mission-critical information</v>
          </cell>
        </row>
        <row r="106">
          <cell r="B106" t="str">
            <v>Compromise design, manufacture, and/or distribution of information system components (including hardware, software, and firmware)</v>
          </cell>
        </row>
        <row r="107">
          <cell r="B107" t="str">
            <v>Conduct communications interception attacks</v>
          </cell>
        </row>
        <row r="108">
          <cell r="B108" t="str">
            <v>Conduct wireless jamming attacks</v>
          </cell>
        </row>
        <row r="109">
          <cell r="B109" t="str">
            <v>Conduct attacks using unauthorized ports, protocols and services</v>
          </cell>
        </row>
        <row r="110">
          <cell r="B110" t="str">
            <v>Conduct attacks leveraging traffic/data movement allowed across perimeter</v>
          </cell>
        </row>
        <row r="111">
          <cell r="B111" t="str">
            <v>Conduct simple Denial of Service (DoS) attack</v>
          </cell>
        </row>
        <row r="112">
          <cell r="B112" t="str">
            <v>Conduct Distributed Denial of Service (DDoS) attacks</v>
          </cell>
        </row>
        <row r="113">
          <cell r="B113" t="str">
            <v>Conduct targeted Denial of Service (DoS) attacks</v>
          </cell>
        </row>
        <row r="114">
          <cell r="B114" t="str">
            <v>Conduct physical attacks on organizational facilities</v>
          </cell>
        </row>
        <row r="115">
          <cell r="B115" t="str">
            <v>Conduct physical attacks on infrastructures supporting organizational facilities</v>
          </cell>
        </row>
        <row r="116">
          <cell r="B116" t="str">
            <v>Conduct cyber-physical attacks on organizational facilities</v>
          </cell>
        </row>
        <row r="117">
          <cell r="B117" t="str">
            <v>Conduct data scavenging attacks in a cloud environment</v>
          </cell>
        </row>
        <row r="118">
          <cell r="B118" t="str">
            <v>Conduct brute force login attempts/password guessing attacks</v>
          </cell>
        </row>
        <row r="119">
          <cell r="B119" t="str">
            <v>Conduct nontargeted zero-day attacks</v>
          </cell>
        </row>
        <row r="120">
          <cell r="B120" t="str">
            <v>Conduct externally-based session hijacking</v>
          </cell>
        </row>
        <row r="121">
          <cell r="B121" t="str">
            <v>Conduct internally-based session hijacking</v>
          </cell>
        </row>
        <row r="122">
          <cell r="B122" t="str">
            <v>Conduct externally-based network traffic modification (man in the middle) attacks</v>
          </cell>
        </row>
        <row r="123">
          <cell r="B123" t="str">
            <v>Conduct internally-based network traffic modification (man in the middle) attacks</v>
          </cell>
        </row>
        <row r="124">
          <cell r="B124" t="str">
            <v>Conduct outsider-based social engineering to obtain information</v>
          </cell>
        </row>
        <row r="125">
          <cell r="B125" t="str">
            <v>Conduct insider-based social engineering to obtain information</v>
          </cell>
        </row>
        <row r="126">
          <cell r="B126" t="str">
            <v>Conduct attacks targeting and compromising personal devices of critical employees</v>
          </cell>
        </row>
        <row r="127">
          <cell r="B127" t="str">
            <v>Conduct supply chain attacks targeting and exploiting critical hardware, software, or firmware</v>
          </cell>
        </row>
        <row r="128">
          <cell r="B128" t="str">
            <v>Obtain sensitive information through network sniffing of external networks</v>
          </cell>
        </row>
        <row r="129">
          <cell r="B129" t="str">
            <v>Obtain sensitive information via exfiltration</v>
          </cell>
        </row>
        <row r="130">
          <cell r="B130" t="str">
            <v>Cause degradation or denial of attacker-selected services or capabilities</v>
          </cell>
        </row>
        <row r="131">
          <cell r="B131" t="str">
            <v>Cause deterioration/destruction of critical information system components and functions</v>
          </cell>
        </row>
        <row r="132">
          <cell r="B132" t="str">
            <v>Cause integrity loss by creating, deleting, and/or modifying data on publicly accessible information systems (e.g., web defacement)</v>
          </cell>
        </row>
        <row r="133">
          <cell r="B133" t="str">
            <v>Cause integrity loss by polluting or corrupting critical data</v>
          </cell>
        </row>
        <row r="134">
          <cell r="B134" t="str">
            <v>Cause integrity loss by injecting false but believable data into organizational information systems</v>
          </cell>
        </row>
        <row r="135">
          <cell r="B135" t="str">
            <v>Cause disclosure of critical and/or sensitive information by authorized users</v>
          </cell>
        </row>
        <row r="136">
          <cell r="B136" t="str">
            <v>Cause unauthorized disclosure and/or unavailability by spilling sensitive information</v>
          </cell>
        </row>
        <row r="137">
          <cell r="B137" t="str">
            <v>Obtain information by externally located interception of wireless network traffic</v>
          </cell>
        </row>
        <row r="138">
          <cell r="B138" t="str">
            <v>Obtain unauthorized access</v>
          </cell>
        </row>
        <row r="139">
          <cell r="B139" t="str">
            <v>Obtain sensitive data/information from publicly accessible information systems</v>
          </cell>
        </row>
        <row r="140">
          <cell r="B140" t="str">
            <v>Obtain information by opportunistically stealing or scavenging information systems/components</v>
          </cell>
        </row>
        <row r="141">
          <cell r="B141" t="str">
            <v>Obfuscate adversary actions</v>
          </cell>
        </row>
        <row r="142">
          <cell r="B142" t="str">
            <v>Adapt cyber attacks based on detailed surveillance</v>
          </cell>
        </row>
        <row r="143">
          <cell r="B143" t="str">
            <v>Coordinate a campaign of multi-staged attacks (e.g., hopping)</v>
          </cell>
        </row>
        <row r="144">
          <cell r="B144" t="str">
            <v>Coordinate a campaign that combines internal and external attacks across multiple information systems and information technologies</v>
          </cell>
        </row>
        <row r="145">
          <cell r="B145" t="str">
            <v>Coordinate campaigns across multiple organizations to acquire specific information or achieve desired outcome</v>
          </cell>
        </row>
        <row r="146">
          <cell r="B146" t="str">
            <v>Coordinate a campaign that spreads attacks across organizational systems from existing presence</v>
          </cell>
        </row>
        <row r="147">
          <cell r="B147" t="str">
            <v>Coordinate a campaign of continuous, adaptive, and changing cyber attacks based on detailed surveillance</v>
          </cell>
        </row>
        <row r="148">
          <cell r="B148" t="str">
            <v>Coordinate cyber attacks using external (outsider), internal (insider), and supply chain (supplier) attack vectors</v>
          </cell>
        </row>
      </sheetData>
      <sheetData sheetId="7">
        <row r="6">
          <cell r="B6" t="str">
            <v>active sessions after working hours</v>
          </cell>
        </row>
        <row r="7">
          <cell r="B7" t="str">
            <v>cable placing</v>
          </cell>
        </row>
        <row r="8">
          <cell r="B8" t="str">
            <v>complicated user interface</v>
          </cell>
        </row>
        <row r="9">
          <cell r="B9" t="str">
            <v>cryptographic keys accessible to unauthorized persons</v>
          </cell>
        </row>
        <row r="10">
          <cell r="B10" t="str">
            <v>disposal of storage media without erasing data</v>
          </cell>
        </row>
        <row r="11">
          <cell r="B11" t="str">
            <v>extensive powers</v>
          </cell>
        </row>
        <row r="12">
          <cell r="B12" t="str">
            <v>inadequate capacity management</v>
          </cell>
        </row>
        <row r="13">
          <cell r="B13" t="str">
            <v>inadequate change control</v>
          </cell>
        </row>
        <row r="14">
          <cell r="B14" t="str">
            <v>inadequate level of knowledge and/or awareness of employees</v>
          </cell>
        </row>
        <row r="15">
          <cell r="B15" t="str">
            <v>inadequate maintenance</v>
          </cell>
        </row>
        <row r="16">
          <cell r="B16" t="str">
            <v>inadequate network management</v>
          </cell>
        </row>
        <row r="17">
          <cell r="B17" t="str">
            <v>inadequate segregation of duties</v>
          </cell>
        </row>
        <row r="18">
          <cell r="B18" t="str">
            <v>inadequate supervision of external suppliers</v>
          </cell>
        </row>
        <row r="19">
          <cell r="B19" t="str">
            <v>inadequate supervision of the work of employees</v>
          </cell>
        </row>
        <row r="20">
          <cell r="B20" t="str">
            <v>inadequate user rights</v>
          </cell>
        </row>
        <row r="21">
          <cell r="B21" t="str">
            <v>information available to unauthorized persons</v>
          </cell>
        </row>
        <row r="22">
          <cell r="B22" t="str">
            <v>lack of evidence of sent or received messages</v>
          </cell>
        </row>
        <row r="23">
          <cell r="B23" t="str">
            <v>lack of input and output data control</v>
          </cell>
        </row>
        <row r="24">
          <cell r="B24" t="str">
            <v>lack of or poor internal audit implementation</v>
          </cell>
        </row>
        <row r="25">
          <cell r="B25" t="str">
            <v>lack of validation for processed data</v>
          </cell>
        </row>
        <row r="26">
          <cell r="B26" t="str">
            <v>location sensitive to natural disasters</v>
          </cell>
        </row>
        <row r="27">
          <cell r="B27" t="str">
            <v>location sensitive to water leakage</v>
          </cell>
        </row>
        <row r="28">
          <cell r="B28" t="str">
            <v>mobile equipment subject to theft</v>
          </cell>
        </row>
        <row r="29">
          <cell r="B29" t="str">
            <v>networks accessible to unauthorized persons</v>
          </cell>
        </row>
        <row r="30">
          <cell r="B30" t="str">
            <v>no deactivation of user accounts after termination of employment</v>
          </cell>
        </row>
        <row r="31">
          <cell r="B31" t="str">
            <v>no separation of test and operational environment</v>
          </cell>
        </row>
        <row r="32">
          <cell r="B32" t="str">
            <v>out-of-date databases for protection against malicious code</v>
          </cell>
        </row>
        <row r="33">
          <cell r="B33" t="str">
            <v>over-dependence on one device/system</v>
          </cell>
        </row>
        <row r="34">
          <cell r="B34" t="str">
            <v>poor selection of test data</v>
          </cell>
        </row>
        <row r="35">
          <cell r="B35" t="str">
            <v>sensitivity of equipment to humidity and pollution</v>
          </cell>
        </row>
        <row r="36">
          <cell r="B36" t="str">
            <v>sensitivity of equipment to temperature</v>
          </cell>
        </row>
        <row r="37">
          <cell r="B37" t="str">
            <v>sensitivity of equipment to voltage change</v>
          </cell>
        </row>
        <row r="38">
          <cell r="B38" t="str">
            <v>single copy, only one copy of information</v>
          </cell>
        </row>
        <row r="39">
          <cell r="B39" t="str">
            <v>system-generated user accounts and passwords remain unchanged</v>
          </cell>
        </row>
        <row r="40">
          <cell r="B40" t="str">
            <v>systems unprotected from unauthorized access</v>
          </cell>
        </row>
        <row r="41">
          <cell r="B41" t="str">
            <v>unauthorized access to facilities allowed</v>
          </cell>
        </row>
        <row r="42">
          <cell r="B42" t="str">
            <v>unclearly defined confidentiality level</v>
          </cell>
        </row>
        <row r="43">
          <cell r="B43" t="str">
            <v>unclearly defined cryptographic rules</v>
          </cell>
        </row>
        <row r="44">
          <cell r="B44" t="str">
            <v>unclearly defined organizational rules</v>
          </cell>
        </row>
        <row r="45">
          <cell r="B45" t="str">
            <v>unclearly defined requirements for software development</v>
          </cell>
        </row>
        <row r="46">
          <cell r="B46" t="str">
            <v>unclearly defined rules for access control</v>
          </cell>
        </row>
        <row r="47">
          <cell r="B47" t="str">
            <v>unclearly defined rules for working off-premises</v>
          </cell>
        </row>
        <row r="48">
          <cell r="B48" t="str">
            <v>uncontrolled copying</v>
          </cell>
        </row>
        <row r="49">
          <cell r="B49" t="str">
            <v>uncontrolled Internet downloads</v>
          </cell>
        </row>
        <row r="50">
          <cell r="B50" t="str">
            <v>uncontrolled use of information systems</v>
          </cell>
        </row>
        <row r="51">
          <cell r="B51" t="str">
            <v>undocumented software</v>
          </cell>
        </row>
        <row r="52">
          <cell r="B52" t="str">
            <v>unmotivated or disgruntled employees</v>
          </cell>
        </row>
        <row r="53">
          <cell r="B53" t="str">
            <v>unprotected public network connections</v>
          </cell>
        </row>
        <row r="54">
          <cell r="B54" t="str">
            <v>use of old equipment</v>
          </cell>
        </row>
        <row r="55">
          <cell r="B55" t="str">
            <v>weak passwords</v>
          </cell>
        </row>
      </sheetData>
      <sheetData sheetId="8">
        <row r="2">
          <cell r="B2" t="str">
            <v>CEO</v>
          </cell>
        </row>
        <row r="3">
          <cell r="B3" t="str">
            <v>FAM</v>
          </cell>
        </row>
        <row r="4">
          <cell r="B4" t="str">
            <v>HFM</v>
          </cell>
        </row>
        <row r="5">
          <cell r="B5" t="str">
            <v>QM</v>
          </cell>
        </row>
        <row r="6">
          <cell r="B6" t="str">
            <v xml:space="preserve">SO </v>
          </cell>
        </row>
        <row r="7">
          <cell r="B7" t="str">
            <v>SS</v>
          </cell>
        </row>
        <row r="8">
          <cell r="B8" t="str">
            <v>STC</v>
          </cell>
        </row>
        <row r="9">
          <cell r="B9" t="str">
            <v>Staff</v>
          </cell>
        </row>
        <row r="10">
          <cell r="B10" t="str">
            <v>TEC</v>
          </cell>
        </row>
      </sheetData>
      <sheetData sheetId="9">
        <row r="3">
          <cell r="A3">
            <v>5</v>
          </cell>
        </row>
        <row r="4">
          <cell r="A4">
            <v>4</v>
          </cell>
        </row>
        <row r="5">
          <cell r="A5">
            <v>3</v>
          </cell>
        </row>
        <row r="6">
          <cell r="A6">
            <v>2</v>
          </cell>
        </row>
        <row r="7">
          <cell r="A7">
            <v>1</v>
          </cell>
        </row>
        <row r="11">
          <cell r="A11">
            <v>5</v>
          </cell>
        </row>
        <row r="12">
          <cell r="A12">
            <v>4</v>
          </cell>
        </row>
        <row r="13">
          <cell r="A13">
            <v>3</v>
          </cell>
        </row>
        <row r="14">
          <cell r="A14">
            <v>2</v>
          </cell>
        </row>
        <row r="15">
          <cell r="A15">
            <v>1</v>
          </cell>
        </row>
        <row r="19">
          <cell r="A19">
            <v>5</v>
          </cell>
        </row>
        <row r="20">
          <cell r="A20">
            <v>4</v>
          </cell>
        </row>
        <row r="21">
          <cell r="A21">
            <v>3</v>
          </cell>
        </row>
        <row r="22">
          <cell r="A22">
            <v>2</v>
          </cell>
        </row>
        <row r="23">
          <cell r="A23">
            <v>1</v>
          </cell>
        </row>
      </sheetData>
      <sheetData sheetId="10">
        <row r="2">
          <cell r="A2">
            <v>5</v>
          </cell>
        </row>
        <row r="3">
          <cell r="A3">
            <v>4</v>
          </cell>
        </row>
        <row r="4">
          <cell r="A4">
            <v>3</v>
          </cell>
        </row>
        <row r="5">
          <cell r="A5">
            <v>2</v>
          </cell>
        </row>
        <row r="6">
          <cell r="A6">
            <v>1</v>
          </cell>
        </row>
      </sheetData>
      <sheetData sheetId="11" refreshError="1"/>
      <sheetData sheetId="12" refreshError="1"/>
      <sheetData sheetId="13">
        <row r="2">
          <cell r="A2" t="str">
            <v>Selection of controls</v>
          </cell>
        </row>
        <row r="3">
          <cell r="A3" t="str">
            <v>Transfer of risks to a third party</v>
          </cell>
        </row>
        <row r="4">
          <cell r="A4" t="str">
            <v>Risk avoidance</v>
          </cell>
        </row>
        <row r="5">
          <cell r="A5" t="str">
            <v>Risk acceptance</v>
          </cell>
        </row>
      </sheetData>
      <sheetData sheetId="14">
        <row r="2">
          <cell r="A2" t="str">
            <v>Annual review</v>
          </cell>
        </row>
        <row r="3">
          <cell r="A3" t="str">
            <v>Approved</v>
          </cell>
        </row>
        <row r="4">
          <cell r="A4" t="str">
            <v>Feasibility study</v>
          </cell>
        </row>
        <row r="5">
          <cell r="A5" t="str">
            <v>Implemented</v>
          </cell>
        </row>
        <row r="6">
          <cell r="A6" t="str">
            <v>Monitor</v>
          </cell>
        </row>
        <row r="7">
          <cell r="A7" t="str">
            <v>Pending approval</v>
          </cell>
        </row>
        <row r="8">
          <cell r="A8" t="str">
            <v>WIP</v>
          </cell>
        </row>
        <row r="9">
          <cell r="A9" t="str">
            <v>NA</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s &amp; Threats"/>
      <sheetName val="Cover (2)"/>
      <sheetName val="Cover"/>
      <sheetName val="1.0 Cascaded threats (BCM)"/>
      <sheetName val="1.1 Threats (Dodid)"/>
      <sheetName val="2.0 RA"/>
      <sheetName val="2.1 RA impact"/>
      <sheetName val="Guidelines"/>
      <sheetName val="2.2 Prioritized risks"/>
      <sheetName val="CatNet"/>
      <sheetName val="Key Risks Types"/>
      <sheetName val="Key Risks"/>
      <sheetName val="Threats list"/>
      <sheetName val="Severity"/>
      <sheetName val="Likelihood"/>
      <sheetName val="Impact (SE)"/>
      <sheetName val="Acceptance"/>
      <sheetName val="Policy-Framework"/>
      <sheetName val="RA-BIA flow"/>
      <sheetName val="Cascaded threats (example)"/>
      <sheetName val="RA (BCM) (sample)"/>
      <sheetName val="Prob"/>
      <sheetName val="Tolerance"/>
      <sheetName val="Cascaded threats (2)"/>
      <sheetName val="2.0 RA (2)"/>
    </sheetNames>
    <sheetDataSet>
      <sheetData sheetId="0"/>
      <sheetData sheetId="1"/>
      <sheetData sheetId="2"/>
      <sheetData sheetId="3"/>
      <sheetData sheetId="4"/>
      <sheetData sheetId="5"/>
      <sheetData sheetId="6"/>
      <sheetData sheetId="7"/>
      <sheetData sheetId="8"/>
      <sheetData sheetId="9"/>
      <sheetData sheetId="10"/>
      <sheetData sheetId="11">
        <row r="2">
          <cell r="A2" t="str">
            <v>NA</v>
          </cell>
        </row>
        <row r="3">
          <cell r="A3" t="str">
            <v>Unspecified</v>
          </cell>
        </row>
        <row r="4">
          <cell r="A4" t="str">
            <v>Fire (and explosion) affecting operations and business</v>
          </cell>
        </row>
        <row r="5">
          <cell r="A5" t="str">
            <v>Flood in areas surrounding building</v>
          </cell>
        </row>
        <row r="6">
          <cell r="A6" t="str">
            <v>Prolonged power failure within office and building</v>
          </cell>
        </row>
        <row r="7">
          <cell r="A7" t="str">
            <v>Centralised air-con system failure</v>
          </cell>
        </row>
        <row r="8">
          <cell r="A8" t="str">
            <v>Internal plumbing or sprinkler failure</v>
          </cell>
        </row>
        <row r="9">
          <cell r="A9" t="str">
            <v>Terrorist attack on building, other nearby buildings or vicinity</v>
          </cell>
        </row>
        <row r="10">
          <cell r="A10" t="str">
            <v>People-related risks (external)</v>
          </cell>
        </row>
        <row r="11">
          <cell r="A11" t="str">
            <v>People-related risks (internal)</v>
          </cell>
        </row>
        <row r="12">
          <cell r="A12" t="str">
            <v>IT system failure</v>
          </cell>
        </row>
        <row r="13">
          <cell r="A13" t="str">
            <v>Telecommunications failure</v>
          </cell>
        </row>
        <row r="14">
          <cell r="A14" t="str">
            <v>Infectious diseases or health issues</v>
          </cell>
        </row>
        <row r="15">
          <cell r="A15" t="str">
            <v>Supply-chain disruption</v>
          </cell>
        </row>
        <row r="16">
          <cell r="A16" t="str">
            <v>Soil erosion issues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treatment table"/>
      <sheetName val="Options"/>
      <sheetName val="Controls"/>
    </sheetNames>
    <sheetDataSet>
      <sheetData sheetId="0" refreshError="1"/>
      <sheetData sheetId="1">
        <row r="3">
          <cell r="A3" t="str">
            <v>1. Selection of controls</v>
          </cell>
        </row>
        <row r="4">
          <cell r="A4" t="str">
            <v>2. Transfer of risks to a third party</v>
          </cell>
        </row>
        <row r="5">
          <cell r="A5" t="str">
            <v>3. Risk avoidance</v>
          </cell>
        </row>
        <row r="6">
          <cell r="A6" t="str">
            <v>4. Risk acceptance</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6"/>
  <sheetViews>
    <sheetView showGridLines="0" zoomScale="120" zoomScaleNormal="120" workbookViewId="0">
      <pane xSplit="6" ySplit="17" topLeftCell="G39" activePane="bottomRight" state="frozenSplit"/>
      <selection pane="topRight" activeCell="G1" sqref="G1"/>
      <selection pane="bottomLeft" activeCell="A18" sqref="A18"/>
      <selection pane="bottomRight" activeCell="C11" sqref="C11:E11"/>
    </sheetView>
  </sheetViews>
  <sheetFormatPr defaultRowHeight="12.75"/>
  <cols>
    <col min="1" max="1" width="18" style="1" customWidth="1"/>
    <col min="2" max="2" width="18.28515625" style="1" customWidth="1"/>
    <col min="3" max="3" width="29.42578125" style="1" customWidth="1"/>
    <col min="4" max="4" width="13.140625" style="1" customWidth="1"/>
    <col min="5" max="5" width="25.28515625" style="1" customWidth="1"/>
    <col min="6" max="6" width="1.5703125" style="1" customWidth="1"/>
    <col min="7" max="16384" width="9.140625" style="1"/>
  </cols>
  <sheetData>
    <row r="1" spans="2:5" ht="15.75" customHeight="1"/>
    <row r="2" spans="2:5" ht="10.5" customHeight="1"/>
    <row r="5" spans="2:5" ht="15.75" customHeight="1"/>
    <row r="6" spans="2:5" ht="12.75" customHeight="1"/>
    <row r="7" spans="2:5" ht="12.75" customHeight="1"/>
    <row r="9" spans="2:5" ht="20.25" customHeight="1">
      <c r="B9" s="2" t="s">
        <v>59</v>
      </c>
      <c r="C9" s="52" t="s">
        <v>78</v>
      </c>
      <c r="D9" s="52"/>
      <c r="E9" s="52"/>
    </row>
    <row r="10" spans="2:5" ht="20.25" hidden="1" customHeight="1">
      <c r="B10" s="2" t="s">
        <v>1</v>
      </c>
      <c r="C10" s="53"/>
      <c r="D10" s="54"/>
      <c r="E10" s="55"/>
    </row>
    <row r="11" spans="2:5" ht="20.25" customHeight="1">
      <c r="B11" s="2" t="s">
        <v>60</v>
      </c>
      <c r="C11" s="56" t="s">
        <v>79</v>
      </c>
      <c r="D11" s="57"/>
      <c r="E11" s="58"/>
    </row>
    <row r="12" spans="2:5" ht="20.25" customHeight="1">
      <c r="B12" s="2" t="s">
        <v>2</v>
      </c>
      <c r="C12" s="59" t="s">
        <v>51</v>
      </c>
      <c r="D12" s="59"/>
      <c r="E12" s="59"/>
    </row>
    <row r="13" spans="2:5" ht="20.25" customHeight="1">
      <c r="B13" s="3" t="s">
        <v>61</v>
      </c>
      <c r="C13" s="4" t="s">
        <v>62</v>
      </c>
      <c r="D13" s="2" t="s">
        <v>67</v>
      </c>
      <c r="E13" s="7">
        <v>0</v>
      </c>
    </row>
    <row r="14" spans="2:5" ht="20.25" customHeight="1">
      <c r="B14" s="3" t="s">
        <v>57</v>
      </c>
      <c r="C14" s="6" t="s">
        <v>58</v>
      </c>
      <c r="D14" s="2" t="s">
        <v>81</v>
      </c>
      <c r="E14" s="7" t="s">
        <v>80</v>
      </c>
    </row>
    <row r="15" spans="2:5" ht="20.25" customHeight="1">
      <c r="B15" s="2" t="s">
        <v>63</v>
      </c>
      <c r="C15" s="6" t="s">
        <v>64</v>
      </c>
      <c r="D15" s="2" t="s">
        <v>65</v>
      </c>
      <c r="E15" s="5">
        <v>44099</v>
      </c>
    </row>
    <row r="16" spans="2:5" ht="20.25" customHeight="1">
      <c r="B16" s="2" t="s">
        <v>66</v>
      </c>
      <c r="C16" s="6"/>
      <c r="D16" s="2" t="s">
        <v>65</v>
      </c>
      <c r="E16" s="5">
        <f>E15+7</f>
        <v>44106</v>
      </c>
    </row>
  </sheetData>
  <mergeCells count="4">
    <mergeCell ref="C9:E9"/>
    <mergeCell ref="C10:E10"/>
    <mergeCell ref="C11:E11"/>
    <mergeCell ref="C12:E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8"/>
  <sheetViews>
    <sheetView showGridLines="0" workbookViewId="0">
      <pane xSplit="3" ySplit="20" topLeftCell="D24" activePane="bottomRight" state="frozen"/>
      <selection pane="topRight" activeCell="D1" sqref="D1"/>
      <selection pane="bottomLeft" activeCell="A21" sqref="A21"/>
      <selection pane="bottomRight" activeCell="D21" sqref="D21"/>
    </sheetView>
  </sheetViews>
  <sheetFormatPr defaultRowHeight="12.75"/>
  <cols>
    <col min="1" max="1" width="25" style="11" customWidth="1"/>
    <col min="2" max="2" width="63.5703125" style="11" customWidth="1"/>
    <col min="3" max="16384" width="9.140625" style="11"/>
  </cols>
  <sheetData>
    <row r="1" spans="1:2" ht="15.75" customHeight="1">
      <c r="A1" s="41" t="s">
        <v>54</v>
      </c>
      <c r="B1" s="41" t="s">
        <v>55</v>
      </c>
    </row>
    <row r="2" spans="1:2" ht="15.75" customHeight="1">
      <c r="A2" s="42" t="s">
        <v>52</v>
      </c>
      <c r="B2" s="42" t="s">
        <v>96</v>
      </c>
    </row>
    <row r="3" spans="1:2" ht="15.75" customHeight="1">
      <c r="A3" s="42" t="s">
        <v>53</v>
      </c>
      <c r="B3" s="42" t="s">
        <v>56</v>
      </c>
    </row>
    <row r="4" spans="1:2" ht="15.75" customHeight="1">
      <c r="A4" s="42"/>
      <c r="B4" s="42"/>
    </row>
    <row r="5" spans="1:2" ht="15.75" customHeight="1">
      <c r="A5" s="42"/>
      <c r="B5" s="42"/>
    </row>
    <row r="6" spans="1:2" ht="15.75" customHeight="1">
      <c r="A6" s="42"/>
      <c r="B6" s="42"/>
    </row>
    <row r="7" spans="1:2" ht="15.75" customHeight="1">
      <c r="A7" s="42"/>
      <c r="B7" s="42"/>
    </row>
    <row r="8" spans="1:2" ht="15.75" customHeight="1">
      <c r="A8" s="42"/>
      <c r="B8" s="4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8"/>
  <sheetViews>
    <sheetView showGridLines="0" tabSelected="1" workbookViewId="0">
      <pane xSplit="3" ySplit="15" topLeftCell="D16" activePane="bottomRight" state="frozen"/>
      <selection pane="topRight" activeCell="D1" sqref="D1"/>
      <selection pane="bottomLeft" activeCell="A16" sqref="A16"/>
      <selection pane="bottomRight" activeCell="B8" sqref="B8"/>
    </sheetView>
  </sheetViews>
  <sheetFormatPr defaultRowHeight="12.75"/>
  <cols>
    <col min="1" max="1" width="23.85546875" style="11" customWidth="1"/>
    <col min="2" max="2" width="88.42578125" style="11" customWidth="1"/>
    <col min="3" max="16384" width="9.140625" style="11"/>
  </cols>
  <sheetData>
    <row r="1" spans="1:2" ht="15.75" customHeight="1">
      <c r="A1" s="41" t="s">
        <v>97</v>
      </c>
      <c r="B1" s="41" t="s">
        <v>98</v>
      </c>
    </row>
    <row r="2" spans="1:2" ht="15.75" customHeight="1">
      <c r="A2" s="42">
        <v>4.0999999999999996</v>
      </c>
      <c r="B2" s="42" t="s">
        <v>99</v>
      </c>
    </row>
    <row r="3" spans="1:2" ht="15.75" customHeight="1">
      <c r="A3" s="42">
        <v>4.2</v>
      </c>
      <c r="B3" s="42" t="s">
        <v>100</v>
      </c>
    </row>
    <row r="4" spans="1:2" ht="15.75" customHeight="1">
      <c r="A4" s="42"/>
      <c r="B4" s="42"/>
    </row>
    <row r="5" spans="1:2" ht="15.75" customHeight="1">
      <c r="A5" s="42"/>
      <c r="B5" s="42"/>
    </row>
    <row r="6" spans="1:2" ht="15.75" customHeight="1">
      <c r="A6" s="42"/>
      <c r="B6" s="42"/>
    </row>
    <row r="7" spans="1:2" ht="15.75" customHeight="1">
      <c r="A7" s="42"/>
      <c r="B7" s="42"/>
    </row>
    <row r="8" spans="1:2" ht="15.75" customHeight="1">
      <c r="A8" s="42"/>
      <c r="B8" s="4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23"/>
  <sheetViews>
    <sheetView showGridLines="0" zoomScale="90" zoomScaleNormal="90" workbookViewId="0">
      <pane xSplit="3" ySplit="2" topLeftCell="D3" activePane="bottomRight" state="frozenSplit"/>
      <selection activeCell="C9" sqref="C9:E9"/>
      <selection pane="topRight" activeCell="C9" sqref="C9:E9"/>
      <selection pane="bottomLeft" activeCell="C9" sqref="C9:E9"/>
      <selection pane="bottomRight" activeCell="D7" sqref="D7"/>
    </sheetView>
  </sheetViews>
  <sheetFormatPr defaultRowHeight="12.75"/>
  <cols>
    <col min="1" max="1" width="6.85546875" style="11" customWidth="1"/>
    <col min="2" max="2" width="44.28515625" style="11" customWidth="1"/>
    <col min="3" max="3" width="67.85546875" style="11" customWidth="1"/>
    <col min="4" max="4" width="48" style="11" customWidth="1"/>
    <col min="5" max="5" width="12.28515625" style="15" customWidth="1"/>
    <col min="6" max="6" width="11.85546875" style="15" customWidth="1"/>
    <col min="7" max="7" width="13.7109375" style="15" customWidth="1"/>
    <col min="8" max="16384" width="9.140625" style="11"/>
  </cols>
  <sheetData>
    <row r="1" spans="1:7" s="30" customFormat="1" ht="24.75" customHeight="1">
      <c r="A1" s="33"/>
      <c r="B1" s="34" t="s">
        <v>13</v>
      </c>
      <c r="C1" s="35"/>
      <c r="D1" s="49"/>
      <c r="E1" s="60" t="s">
        <v>45</v>
      </c>
      <c r="F1" s="61"/>
      <c r="G1" s="62"/>
    </row>
    <row r="2" spans="1:7" s="15" customFormat="1" ht="30" customHeight="1">
      <c r="A2" s="36" t="s">
        <v>3</v>
      </c>
      <c r="B2" s="36" t="s">
        <v>0</v>
      </c>
      <c r="C2" s="36" t="s">
        <v>4</v>
      </c>
      <c r="D2" s="13" t="s">
        <v>77</v>
      </c>
      <c r="E2" s="36" t="s">
        <v>50</v>
      </c>
      <c r="F2" s="36" t="s">
        <v>46</v>
      </c>
      <c r="G2" s="36" t="s">
        <v>47</v>
      </c>
    </row>
    <row r="3" spans="1:7" s="20" customFormat="1" ht="64.5" customHeight="1">
      <c r="A3" s="37">
        <v>1</v>
      </c>
      <c r="B3" s="17" t="s">
        <v>5</v>
      </c>
      <c r="C3" s="38" t="s">
        <v>39</v>
      </c>
      <c r="D3" s="17"/>
      <c r="E3" s="18" t="s">
        <v>48</v>
      </c>
      <c r="F3" s="37" t="s">
        <v>48</v>
      </c>
      <c r="G3" s="37" t="s">
        <v>48</v>
      </c>
    </row>
    <row r="4" spans="1:7" s="20" customFormat="1" ht="47.25" customHeight="1">
      <c r="A4" s="37">
        <f>IF(AND(B4&lt;&gt;"",C4&lt;&gt;""),1+$A3,IF(OR(B4&lt;&gt;"",C4&lt;&gt;""),"?",""))</f>
        <v>2</v>
      </c>
      <c r="B4" s="17" t="s">
        <v>6</v>
      </c>
      <c r="C4" s="38" t="s">
        <v>38</v>
      </c>
      <c r="D4" s="22"/>
      <c r="E4" s="18" t="s">
        <v>48</v>
      </c>
      <c r="F4" s="37" t="s">
        <v>48</v>
      </c>
      <c r="G4" s="37" t="s">
        <v>48</v>
      </c>
    </row>
    <row r="5" spans="1:7" s="20" customFormat="1" ht="23.25" customHeight="1">
      <c r="A5" s="37">
        <f t="shared" ref="A5:A23" si="0">IF(AND(B5&lt;&gt;"",C5&lt;&gt;""),1+$A4,IF(OR(B5&lt;&gt;"",C5&lt;&gt;""),"?",""))</f>
        <v>3</v>
      </c>
      <c r="B5" s="17" t="s">
        <v>7</v>
      </c>
      <c r="C5" s="17" t="s">
        <v>70</v>
      </c>
      <c r="D5" s="22"/>
      <c r="E5" s="18" t="s">
        <v>48</v>
      </c>
      <c r="F5" s="37" t="s">
        <v>48</v>
      </c>
      <c r="G5" s="37" t="s">
        <v>48</v>
      </c>
    </row>
    <row r="6" spans="1:7" s="20" customFormat="1" ht="36" customHeight="1">
      <c r="A6" s="37">
        <f t="shared" si="0"/>
        <v>4</v>
      </c>
      <c r="B6" s="17" t="s">
        <v>8</v>
      </c>
      <c r="C6" s="38" t="s">
        <v>32</v>
      </c>
      <c r="D6" s="22"/>
      <c r="E6" s="18" t="s">
        <v>48</v>
      </c>
      <c r="F6" s="37" t="s">
        <v>48</v>
      </c>
      <c r="G6" s="37" t="s">
        <v>48</v>
      </c>
    </row>
    <row r="7" spans="1:7" s="20" customFormat="1" ht="58.5" customHeight="1">
      <c r="A7" s="37">
        <f t="shared" si="0"/>
        <v>5</v>
      </c>
      <c r="B7" s="17" t="s">
        <v>9</v>
      </c>
      <c r="C7" s="38" t="s">
        <v>36</v>
      </c>
      <c r="D7" s="22"/>
      <c r="E7" s="18" t="s">
        <v>48</v>
      </c>
      <c r="F7" s="37" t="s">
        <v>48</v>
      </c>
      <c r="G7" s="37" t="s">
        <v>49</v>
      </c>
    </row>
    <row r="8" spans="1:7" s="20" customFormat="1" ht="48" customHeight="1">
      <c r="A8" s="37">
        <f t="shared" si="0"/>
        <v>6</v>
      </c>
      <c r="B8" s="17" t="s">
        <v>10</v>
      </c>
      <c r="C8" s="38" t="s">
        <v>37</v>
      </c>
      <c r="D8" s="25"/>
      <c r="E8" s="18" t="s">
        <v>48</v>
      </c>
      <c r="F8" s="37" t="s">
        <v>48</v>
      </c>
      <c r="G8" s="37" t="s">
        <v>49</v>
      </c>
    </row>
    <row r="9" spans="1:7" s="20" customFormat="1" ht="23.25" customHeight="1">
      <c r="A9" s="37">
        <f t="shared" si="0"/>
        <v>7</v>
      </c>
      <c r="B9" s="17" t="s">
        <v>11</v>
      </c>
      <c r="C9" s="17" t="s">
        <v>35</v>
      </c>
      <c r="D9" s="25"/>
      <c r="E9" s="18" t="s">
        <v>48</v>
      </c>
      <c r="F9" s="37" t="s">
        <v>48</v>
      </c>
      <c r="G9" s="37" t="s">
        <v>49</v>
      </c>
    </row>
    <row r="10" spans="1:7" s="20" customFormat="1" ht="23.25" customHeight="1">
      <c r="A10" s="37">
        <f t="shared" si="0"/>
        <v>8</v>
      </c>
      <c r="B10" s="17" t="s">
        <v>23</v>
      </c>
      <c r="C10" s="17" t="s">
        <v>29</v>
      </c>
      <c r="D10" s="25"/>
      <c r="E10" s="18" t="s">
        <v>48</v>
      </c>
      <c r="F10" s="37" t="s">
        <v>48</v>
      </c>
      <c r="G10" s="37" t="s">
        <v>49</v>
      </c>
    </row>
    <row r="11" spans="1:7" s="20" customFormat="1" ht="33" customHeight="1">
      <c r="A11" s="37">
        <f t="shared" si="0"/>
        <v>9</v>
      </c>
      <c r="B11" s="17" t="s">
        <v>24</v>
      </c>
      <c r="C11" s="38" t="s">
        <v>42</v>
      </c>
      <c r="D11" s="25"/>
      <c r="E11" s="18" t="s">
        <v>48</v>
      </c>
      <c r="F11" s="37" t="s">
        <v>48</v>
      </c>
      <c r="G11" s="37" t="s">
        <v>49</v>
      </c>
    </row>
    <row r="12" spans="1:7" s="20" customFormat="1" ht="23.25" customHeight="1">
      <c r="A12" s="37">
        <f t="shared" si="0"/>
        <v>10</v>
      </c>
      <c r="B12" s="17" t="s">
        <v>25</v>
      </c>
      <c r="C12" s="17" t="s">
        <v>30</v>
      </c>
      <c r="D12" s="25"/>
      <c r="E12" s="18" t="s">
        <v>48</v>
      </c>
      <c r="F12" s="37" t="s">
        <v>48</v>
      </c>
      <c r="G12" s="37" t="s">
        <v>48</v>
      </c>
    </row>
    <row r="13" spans="1:7" s="20" customFormat="1" ht="23.25" customHeight="1">
      <c r="A13" s="37">
        <f t="shared" si="0"/>
        <v>11</v>
      </c>
      <c r="B13" s="17" t="s">
        <v>26</v>
      </c>
      <c r="C13" s="17" t="s">
        <v>31</v>
      </c>
      <c r="D13" s="25"/>
      <c r="E13" s="18" t="s">
        <v>48</v>
      </c>
      <c r="F13" s="37" t="s">
        <v>48</v>
      </c>
      <c r="G13" s="37" t="s">
        <v>49</v>
      </c>
    </row>
    <row r="14" spans="1:7" s="15" customFormat="1" ht="23.25" customHeight="1">
      <c r="A14" s="37">
        <f t="shared" si="0"/>
        <v>12</v>
      </c>
      <c r="B14" s="17" t="s">
        <v>27</v>
      </c>
      <c r="C14" s="39" t="s">
        <v>33</v>
      </c>
      <c r="E14" s="18" t="s">
        <v>48</v>
      </c>
      <c r="F14" s="37" t="s">
        <v>48</v>
      </c>
      <c r="G14" s="37" t="s">
        <v>49</v>
      </c>
    </row>
    <row r="15" spans="1:7" s="15" customFormat="1" ht="23.25" customHeight="1">
      <c r="A15" s="37">
        <f t="shared" si="0"/>
        <v>13</v>
      </c>
      <c r="B15" s="17" t="s">
        <v>28</v>
      </c>
      <c r="C15" s="39" t="s">
        <v>34</v>
      </c>
      <c r="E15" s="18" t="s">
        <v>48</v>
      </c>
      <c r="F15" s="37" t="s">
        <v>48</v>
      </c>
      <c r="G15" s="37" t="s">
        <v>49</v>
      </c>
    </row>
    <row r="16" spans="1:7" s="15" customFormat="1" ht="32.25" customHeight="1">
      <c r="A16" s="37">
        <f t="shared" si="0"/>
        <v>14</v>
      </c>
      <c r="B16" s="17" t="s">
        <v>40</v>
      </c>
      <c r="C16" s="38" t="s">
        <v>41</v>
      </c>
      <c r="E16" s="18" t="s">
        <v>48</v>
      </c>
      <c r="F16" s="37" t="s">
        <v>48</v>
      </c>
      <c r="G16" s="37" t="s">
        <v>49</v>
      </c>
    </row>
    <row r="17" spans="1:7" s="15" customFormat="1" ht="27" customHeight="1">
      <c r="A17" s="37">
        <f t="shared" si="0"/>
        <v>15</v>
      </c>
      <c r="B17" s="39" t="s">
        <v>43</v>
      </c>
      <c r="C17" s="39" t="s">
        <v>44</v>
      </c>
      <c r="E17" s="18" t="s">
        <v>48</v>
      </c>
      <c r="F17" s="37" t="s">
        <v>48</v>
      </c>
      <c r="G17" s="37" t="s">
        <v>49</v>
      </c>
    </row>
    <row r="18" spans="1:7" s="15" customFormat="1" ht="23.25" customHeight="1">
      <c r="A18" s="20" t="str">
        <f t="shared" si="0"/>
        <v/>
      </c>
      <c r="C18" s="40"/>
      <c r="E18" s="26"/>
      <c r="F18" s="20"/>
      <c r="G18" s="20"/>
    </row>
    <row r="19" spans="1:7" s="15" customFormat="1" ht="23.25" customHeight="1">
      <c r="A19" s="20" t="str">
        <f t="shared" si="0"/>
        <v/>
      </c>
      <c r="C19" s="40"/>
      <c r="E19" s="26"/>
      <c r="F19" s="20"/>
      <c r="G19" s="20"/>
    </row>
    <row r="20" spans="1:7" s="15" customFormat="1" ht="23.25" customHeight="1">
      <c r="A20" s="20" t="str">
        <f t="shared" si="0"/>
        <v/>
      </c>
      <c r="C20" s="40"/>
      <c r="E20" s="26"/>
      <c r="F20" s="20"/>
      <c r="G20" s="20"/>
    </row>
    <row r="21" spans="1:7" s="15" customFormat="1" ht="23.25" customHeight="1">
      <c r="A21" s="20" t="str">
        <f t="shared" si="0"/>
        <v/>
      </c>
      <c r="C21" s="40"/>
      <c r="E21" s="26"/>
      <c r="F21" s="20"/>
      <c r="G21" s="20"/>
    </row>
    <row r="22" spans="1:7" s="15" customFormat="1" ht="23.25" customHeight="1">
      <c r="A22" s="20" t="str">
        <f t="shared" si="0"/>
        <v/>
      </c>
      <c r="E22" s="26"/>
      <c r="F22" s="20"/>
      <c r="G22" s="20"/>
    </row>
    <row r="23" spans="1:7" s="15" customFormat="1" ht="23.25" customHeight="1">
      <c r="A23" s="20" t="str">
        <f t="shared" si="0"/>
        <v/>
      </c>
      <c r="E23" s="26"/>
      <c r="F23" s="20"/>
      <c r="G23" s="20"/>
    </row>
  </sheetData>
  <mergeCells count="1">
    <mergeCell ref="E1:G1"/>
  </mergeCells>
  <dataValidations count="1">
    <dataValidation type="list" allowBlank="1" showInputMessage="1" showErrorMessage="1" sqref="E3:G23">
      <formula1>"Yes, No,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21"/>
  <sheetViews>
    <sheetView showGridLines="0" zoomScaleNormal="100" workbookViewId="0">
      <pane xSplit="3" ySplit="2" topLeftCell="D3" activePane="bottomRight" state="frozenSplit"/>
      <selection activeCell="C9" sqref="C9:E9"/>
      <selection pane="topRight" activeCell="C9" sqref="C9:E9"/>
      <selection pane="bottomLeft" activeCell="C9" sqref="C9:E9"/>
      <selection pane="bottomRight" activeCell="C4" sqref="C4"/>
    </sheetView>
  </sheetViews>
  <sheetFormatPr defaultRowHeight="12.75"/>
  <cols>
    <col min="1" max="1" width="6.85546875" style="11" customWidth="1"/>
    <col min="2" max="2" width="29.28515625" style="11" customWidth="1"/>
    <col min="3" max="3" width="70.5703125" style="11" customWidth="1"/>
    <col min="4" max="4" width="48" style="11" customWidth="1"/>
    <col min="5" max="6" width="16.28515625" style="11" customWidth="1"/>
    <col min="7" max="16384" width="9.140625" style="11"/>
  </cols>
  <sheetData>
    <row r="1" spans="1:6" s="30" customFormat="1" ht="24" customHeight="1">
      <c r="A1" s="29"/>
      <c r="B1" s="9" t="s">
        <v>12</v>
      </c>
      <c r="C1" s="9"/>
      <c r="D1" s="49"/>
      <c r="E1" s="63" t="s">
        <v>45</v>
      </c>
      <c r="F1" s="64"/>
    </row>
    <row r="2" spans="1:6" s="15" customFormat="1" ht="32.25" customHeight="1">
      <c r="A2" s="12" t="s">
        <v>3</v>
      </c>
      <c r="B2" s="13" t="s">
        <v>0</v>
      </c>
      <c r="C2" s="13" t="s">
        <v>4</v>
      </c>
      <c r="D2" s="13" t="s">
        <v>77</v>
      </c>
      <c r="E2" s="13" t="s">
        <v>50</v>
      </c>
      <c r="F2" s="14" t="s">
        <v>46</v>
      </c>
    </row>
    <row r="3" spans="1:6" s="20" customFormat="1" ht="23.25" customHeight="1">
      <c r="A3" s="16">
        <v>1</v>
      </c>
      <c r="B3" s="17" t="s">
        <v>19</v>
      </c>
      <c r="C3" s="17" t="s">
        <v>20</v>
      </c>
      <c r="D3" s="17"/>
      <c r="E3" s="18" t="s">
        <v>48</v>
      </c>
      <c r="F3" s="19" t="s">
        <v>49</v>
      </c>
    </row>
    <row r="4" spans="1:6" s="20" customFormat="1" ht="33.75" customHeight="1">
      <c r="A4" s="21" t="str">
        <f>IF(AND(B4&lt;&gt;"",C4&lt;&gt;""),1+$A3,IF(OR(B4&lt;&gt;"",C4&lt;&gt;""),"?",""))</f>
        <v/>
      </c>
      <c r="B4" s="22"/>
      <c r="C4" s="31"/>
      <c r="D4" s="22"/>
      <c r="E4" s="23"/>
      <c r="F4" s="24"/>
    </row>
    <row r="5" spans="1:6" s="20" customFormat="1" ht="33.75" customHeight="1">
      <c r="A5" s="21" t="str">
        <f>IF(AND(B5&lt;&gt;"",C5&lt;&gt;""),1+$A4,IF(OR(B5&lt;&gt;"",C5&lt;&gt;""),"?",""))</f>
        <v/>
      </c>
      <c r="B5" s="50"/>
      <c r="C5" s="31"/>
      <c r="D5" s="22"/>
      <c r="E5" s="23"/>
      <c r="F5" s="24"/>
    </row>
    <row r="6" spans="1:6" s="20" customFormat="1" ht="23.25" customHeight="1">
      <c r="A6" s="20" t="str">
        <f>IF(AND(B6&lt;&gt;"",C6&lt;&gt;""),1+#REF!,IF(OR(B6&lt;&gt;"",C6&lt;&gt;""),"?",""))</f>
        <v/>
      </c>
      <c r="B6" s="25"/>
      <c r="C6" s="25"/>
      <c r="D6" s="25"/>
      <c r="E6" s="32"/>
    </row>
    <row r="7" spans="1:6" s="20" customFormat="1" ht="23.25" customHeight="1">
      <c r="A7" s="20" t="str">
        <f t="shared" ref="A7:A10" si="0">IF(AND(B7&lt;&gt;"",C7&lt;&gt;""),1+$A6,IF(OR(B7&lt;&gt;"",C7&lt;&gt;""),"?",""))</f>
        <v/>
      </c>
      <c r="B7" s="25"/>
      <c r="C7" s="25"/>
      <c r="D7" s="25"/>
      <c r="E7" s="32"/>
    </row>
    <row r="8" spans="1:6" s="20" customFormat="1" ht="23.25" customHeight="1">
      <c r="A8" s="20" t="str">
        <f t="shared" si="0"/>
        <v/>
      </c>
      <c r="B8" s="25"/>
      <c r="C8" s="25"/>
      <c r="D8" s="25"/>
      <c r="E8" s="32"/>
    </row>
    <row r="9" spans="1:6" s="20" customFormat="1" ht="23.25" customHeight="1">
      <c r="A9" s="20" t="str">
        <f t="shared" si="0"/>
        <v/>
      </c>
      <c r="B9" s="25"/>
      <c r="C9" s="25"/>
      <c r="D9" s="25"/>
      <c r="E9" s="32"/>
    </row>
    <row r="10" spans="1:6" s="20" customFormat="1" ht="23.25" customHeight="1">
      <c r="A10" s="20" t="str">
        <f t="shared" si="0"/>
        <v/>
      </c>
      <c r="B10" s="25"/>
      <c r="C10" s="25"/>
      <c r="D10" s="25"/>
      <c r="E10" s="32"/>
    </row>
    <row r="11" spans="1:6" s="20" customFormat="1" ht="23.25" customHeight="1">
      <c r="B11" s="25"/>
      <c r="C11" s="25"/>
      <c r="D11" s="25"/>
    </row>
    <row r="12" spans="1:6" s="15" customFormat="1" ht="23.25" customHeight="1"/>
    <row r="13" spans="1:6" s="15" customFormat="1" ht="23.25" customHeight="1"/>
    <row r="14" spans="1:6" s="15" customFormat="1" ht="23.25" customHeight="1"/>
    <row r="15" spans="1:6" s="15" customFormat="1" ht="23.25" customHeight="1"/>
    <row r="16" spans="1:6" s="15" customFormat="1" ht="23.25" customHeight="1"/>
    <row r="17" s="15" customFormat="1" ht="23.25" customHeight="1"/>
    <row r="18" s="15" customFormat="1" ht="23.25" customHeight="1"/>
    <row r="19" s="15" customFormat="1" ht="23.25" customHeight="1"/>
    <row r="20" s="15" customFormat="1" ht="23.25" customHeight="1"/>
    <row r="21" s="15" customFormat="1" ht="23.25" customHeight="1"/>
  </sheetData>
  <mergeCells count="1">
    <mergeCell ref="E1:F1"/>
  </mergeCells>
  <dataValidations count="1">
    <dataValidation type="list" allowBlank="1" showInputMessage="1" showErrorMessage="1" sqref="E3:F10">
      <formula1>"Yes, No,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F23"/>
  <sheetViews>
    <sheetView showGridLines="0" zoomScale="90" zoomScaleNormal="90" workbookViewId="0">
      <pane xSplit="3" ySplit="2" topLeftCell="D3" activePane="bottomRight" state="frozenSplit"/>
      <selection activeCell="C9" sqref="C9:E9"/>
      <selection pane="topRight" activeCell="C9" sqref="C9:E9"/>
      <selection pane="bottomLeft" activeCell="C9" sqref="C9:E9"/>
      <selection pane="bottomRight" activeCell="C9" sqref="C9"/>
    </sheetView>
  </sheetViews>
  <sheetFormatPr defaultRowHeight="12.75"/>
  <cols>
    <col min="1" max="1" width="6.85546875" style="11" customWidth="1"/>
    <col min="2" max="2" width="27" style="11" customWidth="1"/>
    <col min="3" max="3" width="91" style="11" customWidth="1"/>
    <col min="4" max="4" width="48" style="11" customWidth="1"/>
    <col min="5" max="6" width="13.85546875" style="11" customWidth="1"/>
    <col min="7" max="16384" width="9.140625" style="11"/>
  </cols>
  <sheetData>
    <row r="1" spans="1:6" ht="18.75" customHeight="1">
      <c r="A1" s="8"/>
      <c r="B1" s="9" t="s">
        <v>14</v>
      </c>
      <c r="C1" s="10"/>
      <c r="D1" s="49"/>
      <c r="E1" s="63" t="s">
        <v>45</v>
      </c>
      <c r="F1" s="64"/>
    </row>
    <row r="2" spans="1:6" s="15" customFormat="1" ht="33.75" customHeight="1">
      <c r="A2" s="12" t="s">
        <v>3</v>
      </c>
      <c r="B2" s="13" t="s">
        <v>0</v>
      </c>
      <c r="C2" s="13" t="s">
        <v>4</v>
      </c>
      <c r="D2" s="13" t="s">
        <v>77</v>
      </c>
      <c r="E2" s="13" t="s">
        <v>50</v>
      </c>
      <c r="F2" s="14" t="s">
        <v>46</v>
      </c>
    </row>
    <row r="3" spans="1:6" s="20" customFormat="1" ht="32.25" customHeight="1">
      <c r="A3" s="16">
        <v>1</v>
      </c>
      <c r="B3" s="17" t="s">
        <v>86</v>
      </c>
      <c r="C3" s="17" t="s">
        <v>88</v>
      </c>
      <c r="D3" s="17"/>
      <c r="E3" s="18" t="s">
        <v>48</v>
      </c>
      <c r="F3" s="19" t="s">
        <v>48</v>
      </c>
    </row>
    <row r="4" spans="1:6" s="20" customFormat="1" ht="36.75" customHeight="1">
      <c r="A4" s="16">
        <f>IF(AND(B4&lt;&gt;"",C4&lt;&gt;""),1+$A3,IF(OR(B4&lt;&gt;"",C4&lt;&gt;""),"?",""))</f>
        <v>2</v>
      </c>
      <c r="B4" s="17" t="s">
        <v>18</v>
      </c>
      <c r="C4" s="27" t="s">
        <v>21</v>
      </c>
      <c r="D4" s="22"/>
      <c r="E4" s="18" t="s">
        <v>48</v>
      </c>
      <c r="F4" s="19" t="s">
        <v>48</v>
      </c>
    </row>
    <row r="5" spans="1:6" s="20" customFormat="1" ht="30.75" customHeight="1">
      <c r="A5" s="16">
        <f t="shared" ref="A5:A12" si="0">IF(AND(B5&lt;&gt;"",C5&lt;&gt;""),1+$A4,IF(OR(B5&lt;&gt;"",C5&lt;&gt;""),"?",""))</f>
        <v>3</v>
      </c>
      <c r="B5" s="17" t="s">
        <v>22</v>
      </c>
      <c r="C5" s="27" t="s">
        <v>21</v>
      </c>
      <c r="D5" s="22"/>
      <c r="E5" s="18" t="s">
        <v>48</v>
      </c>
      <c r="F5" s="19" t="s">
        <v>48</v>
      </c>
    </row>
    <row r="6" spans="1:6" s="20" customFormat="1" ht="29.25" customHeight="1">
      <c r="A6" s="16">
        <f t="shared" si="0"/>
        <v>4</v>
      </c>
      <c r="B6" s="22" t="s">
        <v>82</v>
      </c>
      <c r="C6" s="28" t="s">
        <v>84</v>
      </c>
      <c r="D6" s="22"/>
      <c r="E6" s="18" t="s">
        <v>48</v>
      </c>
      <c r="F6" s="19" t="s">
        <v>48</v>
      </c>
    </row>
    <row r="7" spans="1:6" s="20" customFormat="1" ht="29.25" customHeight="1">
      <c r="A7" s="21">
        <f t="shared" si="0"/>
        <v>5</v>
      </c>
      <c r="B7" s="22" t="s">
        <v>83</v>
      </c>
      <c r="C7" s="28" t="s">
        <v>85</v>
      </c>
      <c r="D7" s="22"/>
      <c r="E7" s="18" t="s">
        <v>48</v>
      </c>
      <c r="F7" s="19" t="s">
        <v>49</v>
      </c>
    </row>
    <row r="8" spans="1:6" s="20" customFormat="1" ht="29.25" customHeight="1">
      <c r="A8" s="21">
        <f t="shared" ref="A8" si="1">IF(AND(B8&lt;&gt;"",C8&lt;&gt;""),1+$A7,IF(OR(B8&lt;&gt;"",C8&lt;&gt;""),"?",""))</f>
        <v>6</v>
      </c>
      <c r="B8" s="22" t="s">
        <v>89</v>
      </c>
      <c r="C8" s="28" t="s">
        <v>90</v>
      </c>
      <c r="D8" s="22"/>
      <c r="E8" s="18" t="s">
        <v>48</v>
      </c>
      <c r="F8" s="19" t="s">
        <v>49</v>
      </c>
    </row>
    <row r="9" spans="1:6" s="20" customFormat="1" ht="23.25" customHeight="1">
      <c r="A9" s="20" t="str">
        <f t="shared" si="0"/>
        <v/>
      </c>
      <c r="B9" s="25"/>
      <c r="C9" s="25"/>
      <c r="D9" s="25"/>
    </row>
    <row r="10" spans="1:6" s="20" customFormat="1" ht="23.25" customHeight="1">
      <c r="A10" s="20" t="str">
        <f t="shared" si="0"/>
        <v/>
      </c>
      <c r="B10" s="25"/>
      <c r="C10" s="25"/>
      <c r="D10" s="25"/>
    </row>
    <row r="11" spans="1:6" s="20" customFormat="1" ht="23.25" customHeight="1">
      <c r="A11" s="20" t="str">
        <f t="shared" si="0"/>
        <v/>
      </c>
      <c r="B11" s="25"/>
      <c r="C11" s="25"/>
      <c r="D11" s="25"/>
    </row>
    <row r="12" spans="1:6" s="20" customFormat="1" ht="23.25" customHeight="1">
      <c r="A12" s="20" t="str">
        <f t="shared" si="0"/>
        <v/>
      </c>
      <c r="B12" s="25"/>
      <c r="C12" s="25"/>
      <c r="D12" s="25"/>
    </row>
    <row r="13" spans="1:6" s="20" customFormat="1" ht="23.25" customHeight="1">
      <c r="B13" s="25"/>
      <c r="C13" s="25"/>
      <c r="D13" s="25"/>
    </row>
    <row r="14" spans="1:6" s="15" customFormat="1" ht="23.25" customHeight="1"/>
    <row r="15" spans="1:6" s="15" customFormat="1" ht="23.25" customHeight="1"/>
    <row r="16" spans="1:6" s="15" customFormat="1" ht="23.25" customHeight="1"/>
    <row r="17" s="15" customFormat="1" ht="23.25" customHeight="1"/>
    <row r="18" s="15" customFormat="1" ht="23.25" customHeight="1"/>
    <row r="19" s="15" customFormat="1" ht="23.25" customHeight="1"/>
    <row r="20" s="15" customFormat="1" ht="23.25" customHeight="1"/>
    <row r="21" s="15" customFormat="1" ht="23.25" customHeight="1"/>
    <row r="22" s="15" customFormat="1" ht="23.25" customHeight="1"/>
    <row r="23" s="15" customFormat="1" ht="23.25" customHeight="1"/>
  </sheetData>
  <mergeCells count="1">
    <mergeCell ref="E1:F1"/>
  </mergeCells>
  <dataValidations count="1">
    <dataValidation type="list" allowBlank="1" showInputMessage="1" showErrorMessage="1" sqref="E3:F8">
      <formula1>"Yes, No, NA"</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23"/>
  <sheetViews>
    <sheetView showGridLines="0" zoomScaleNormal="100" workbookViewId="0">
      <pane xSplit="3" ySplit="2" topLeftCell="D3" activePane="bottomRight" state="frozenSplit"/>
      <selection activeCell="C9" sqref="C9:E9"/>
      <selection pane="topRight" activeCell="C9" sqref="C9:E9"/>
      <selection pane="bottomLeft" activeCell="C9" sqref="C9:E9"/>
      <selection pane="bottomRight" activeCell="D1" sqref="D1:D1048576"/>
    </sheetView>
  </sheetViews>
  <sheetFormatPr defaultRowHeight="12.75"/>
  <cols>
    <col min="1" max="1" width="6.85546875" style="11" customWidth="1"/>
    <col min="2" max="2" width="30.42578125" style="11" customWidth="1"/>
    <col min="3" max="3" width="67.5703125" style="11" customWidth="1"/>
    <col min="4" max="4" width="48" style="11" customWidth="1"/>
    <col min="5" max="6" width="13.5703125" style="11" customWidth="1"/>
    <col min="7" max="16384" width="9.140625" style="11"/>
  </cols>
  <sheetData>
    <row r="1" spans="1:6" ht="20.25" customHeight="1">
      <c r="A1" s="8"/>
      <c r="B1" s="9" t="s">
        <v>15</v>
      </c>
      <c r="C1" s="10"/>
      <c r="D1" s="49"/>
      <c r="E1" s="63" t="s">
        <v>45</v>
      </c>
      <c r="F1" s="64"/>
    </row>
    <row r="2" spans="1:6" s="15" customFormat="1" ht="32.25" customHeight="1">
      <c r="A2" s="12" t="s">
        <v>3</v>
      </c>
      <c r="B2" s="13" t="s">
        <v>0</v>
      </c>
      <c r="C2" s="13" t="s">
        <v>4</v>
      </c>
      <c r="D2" s="13" t="s">
        <v>77</v>
      </c>
      <c r="E2" s="13" t="s">
        <v>50</v>
      </c>
      <c r="F2" s="14" t="s">
        <v>46</v>
      </c>
    </row>
    <row r="3" spans="1:6" s="20" customFormat="1" ht="23.25" customHeight="1">
      <c r="A3" s="16">
        <v>1</v>
      </c>
      <c r="B3" s="17" t="s">
        <v>16</v>
      </c>
      <c r="C3" s="17" t="s">
        <v>68</v>
      </c>
      <c r="D3" s="17"/>
      <c r="E3" s="18" t="s">
        <v>48</v>
      </c>
      <c r="F3" s="19" t="s">
        <v>48</v>
      </c>
    </row>
    <row r="4" spans="1:6" s="20" customFormat="1" ht="23.25" customHeight="1">
      <c r="A4" s="21">
        <f>IF(AND(B4&lt;&gt;"",C4&lt;&gt;""),1+$A3,IF(OR(B4&lt;&gt;"",C4&lt;&gt;""),"?",""))</f>
        <v>2</v>
      </c>
      <c r="B4" s="22" t="s">
        <v>17</v>
      </c>
      <c r="C4" s="22" t="s">
        <v>69</v>
      </c>
      <c r="D4" s="22"/>
      <c r="E4" s="23" t="s">
        <v>48</v>
      </c>
      <c r="F4" s="24" t="s">
        <v>49</v>
      </c>
    </row>
    <row r="5" spans="1:6" s="20" customFormat="1" ht="23.25" customHeight="1">
      <c r="A5" s="20" t="str">
        <f t="shared" ref="A5:A11" si="0">IF(AND(B5&lt;&gt;"",C5&lt;&gt;""),1+$A4,IF(OR(B5&lt;&gt;"",C5&lt;&gt;""),"?",""))</f>
        <v/>
      </c>
      <c r="B5" s="25"/>
      <c r="C5" s="25"/>
      <c r="D5" s="25"/>
      <c r="E5" s="26"/>
    </row>
    <row r="6" spans="1:6" s="20" customFormat="1" ht="23.25" customHeight="1">
      <c r="A6" s="20" t="str">
        <f t="shared" si="0"/>
        <v/>
      </c>
      <c r="B6" s="25"/>
      <c r="C6" s="25"/>
      <c r="D6" s="25"/>
      <c r="E6" s="26"/>
    </row>
    <row r="7" spans="1:6" s="20" customFormat="1" ht="23.25" customHeight="1">
      <c r="A7" s="20" t="str">
        <f t="shared" si="0"/>
        <v/>
      </c>
      <c r="B7" s="25"/>
      <c r="C7" s="25"/>
      <c r="D7" s="25"/>
      <c r="E7" s="26"/>
    </row>
    <row r="8" spans="1:6" s="20" customFormat="1" ht="23.25" customHeight="1">
      <c r="A8" s="20" t="str">
        <f t="shared" si="0"/>
        <v/>
      </c>
      <c r="B8" s="25"/>
      <c r="C8" s="25"/>
      <c r="D8" s="25"/>
    </row>
    <row r="9" spans="1:6" s="20" customFormat="1" ht="23.25" customHeight="1">
      <c r="A9" s="20" t="str">
        <f t="shared" si="0"/>
        <v/>
      </c>
      <c r="B9" s="25"/>
      <c r="C9" s="25"/>
      <c r="D9" s="25"/>
    </row>
    <row r="10" spans="1:6" s="20" customFormat="1" ht="23.25" customHeight="1">
      <c r="A10" s="20" t="str">
        <f t="shared" si="0"/>
        <v/>
      </c>
      <c r="B10" s="25"/>
      <c r="C10" s="25"/>
      <c r="D10" s="25"/>
    </row>
    <row r="11" spans="1:6" s="20" customFormat="1" ht="23.25" customHeight="1">
      <c r="A11" s="20" t="str">
        <f t="shared" si="0"/>
        <v/>
      </c>
      <c r="B11" s="25"/>
      <c r="C11" s="25"/>
      <c r="D11" s="25"/>
    </row>
    <row r="12" spans="1:6" s="20" customFormat="1" ht="23.25" customHeight="1">
      <c r="B12" s="25"/>
      <c r="C12" s="25"/>
      <c r="D12" s="25"/>
    </row>
    <row r="13" spans="1:6" s="20" customFormat="1" ht="23.25" customHeight="1">
      <c r="B13" s="25"/>
      <c r="C13" s="25"/>
      <c r="D13" s="25"/>
    </row>
    <row r="14" spans="1:6" s="15" customFormat="1" ht="23.25" customHeight="1"/>
    <row r="15" spans="1:6" s="15" customFormat="1" ht="23.25" customHeight="1"/>
    <row r="16" spans="1:6" s="15" customFormat="1" ht="23.25" customHeight="1"/>
    <row r="17" s="15" customFormat="1" ht="23.25" customHeight="1"/>
    <row r="18" s="15" customFormat="1" ht="23.25" customHeight="1"/>
    <row r="19" s="15" customFormat="1" ht="23.25" customHeight="1"/>
    <row r="20" s="15" customFormat="1" ht="23.25" customHeight="1"/>
    <row r="21" s="15" customFormat="1" ht="23.25" customHeight="1"/>
    <row r="22" s="15" customFormat="1" ht="23.25" customHeight="1"/>
    <row r="23" s="15" customFormat="1" ht="23.25" customHeight="1"/>
  </sheetData>
  <mergeCells count="1">
    <mergeCell ref="E1:F1"/>
  </mergeCells>
  <dataValidations count="1">
    <dataValidation type="list" allowBlank="1" showInputMessage="1" showErrorMessage="1" sqref="E3:F7">
      <formula1>"Yes, No, 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39"/>
  <sheetViews>
    <sheetView showGridLines="0" workbookViewId="0">
      <selection activeCell="C17" sqref="C17"/>
    </sheetView>
  </sheetViews>
  <sheetFormatPr defaultRowHeight="12.75"/>
  <cols>
    <col min="1" max="1" width="0.7109375" style="11" customWidth="1"/>
    <col min="2" max="2" width="6" style="43" bestFit="1" customWidth="1"/>
    <col min="3" max="3" width="46.140625" style="11" customWidth="1"/>
    <col min="4" max="4" width="29.28515625" style="11" customWidth="1"/>
    <col min="5" max="5" width="50.85546875" style="11" customWidth="1"/>
    <col min="6" max="6" width="10.5703125" style="11" hidden="1" customWidth="1"/>
    <col min="7" max="16384" width="9.140625" style="11"/>
  </cols>
  <sheetData>
    <row r="1" spans="2:6" ht="5.25" customHeight="1"/>
    <row r="2" spans="2:6" ht="14.25" customHeight="1">
      <c r="C2" s="65" t="s">
        <v>71</v>
      </c>
      <c r="D2" s="65"/>
      <c r="E2" s="65"/>
      <c r="F2" s="65"/>
    </row>
    <row r="3" spans="2:6">
      <c r="B3" s="44" t="s">
        <v>3</v>
      </c>
      <c r="C3" s="45" t="s">
        <v>72</v>
      </c>
      <c r="D3" s="45" t="s">
        <v>73</v>
      </c>
      <c r="E3" s="45" t="s">
        <v>75</v>
      </c>
      <c r="F3" s="46" t="s">
        <v>74</v>
      </c>
    </row>
    <row r="4" spans="2:6" ht="15" customHeight="1">
      <c r="B4" s="47">
        <v>1</v>
      </c>
      <c r="C4" s="46" t="s">
        <v>91</v>
      </c>
      <c r="D4" s="46"/>
      <c r="E4" s="46"/>
      <c r="F4" s="46"/>
    </row>
    <row r="5" spans="2:6">
      <c r="B5" s="47"/>
      <c r="C5" s="46"/>
      <c r="D5" s="46"/>
      <c r="E5" s="46"/>
      <c r="F5" s="48"/>
    </row>
    <row r="6" spans="2:6">
      <c r="B6" s="47"/>
      <c r="C6" s="46"/>
      <c r="D6" s="46"/>
      <c r="E6" s="46"/>
      <c r="F6" s="48"/>
    </row>
    <row r="7" spans="2:6">
      <c r="B7" s="47"/>
      <c r="C7" s="46"/>
      <c r="D7" s="46"/>
      <c r="E7" s="46"/>
      <c r="F7" s="48"/>
    </row>
    <row r="8" spans="2:6">
      <c r="B8" s="47">
        <v>2</v>
      </c>
      <c r="C8" s="46" t="s">
        <v>87</v>
      </c>
      <c r="D8" s="46"/>
      <c r="E8" s="46"/>
      <c r="F8" s="48"/>
    </row>
    <row r="9" spans="2:6">
      <c r="B9" s="47"/>
      <c r="C9" s="46"/>
      <c r="D9" s="46"/>
      <c r="E9" s="46"/>
      <c r="F9" s="48"/>
    </row>
    <row r="10" spans="2:6">
      <c r="B10" s="47"/>
      <c r="C10" s="46"/>
      <c r="D10" s="46"/>
      <c r="E10" s="46"/>
      <c r="F10" s="48"/>
    </row>
    <row r="11" spans="2:6">
      <c r="B11" s="47"/>
      <c r="C11" s="46"/>
      <c r="D11" s="46"/>
      <c r="E11" s="46"/>
      <c r="F11" s="48"/>
    </row>
    <row r="12" spans="2:6" ht="15" customHeight="1">
      <c r="B12" s="47">
        <v>3</v>
      </c>
      <c r="C12" s="46" t="s">
        <v>93</v>
      </c>
      <c r="D12" s="46"/>
      <c r="E12" s="46"/>
      <c r="F12" s="48"/>
    </row>
    <row r="13" spans="2:6">
      <c r="B13" s="47"/>
      <c r="C13" s="46"/>
      <c r="D13" s="46"/>
      <c r="E13" s="46"/>
      <c r="F13" s="48"/>
    </row>
    <row r="14" spans="2:6">
      <c r="B14" s="47"/>
      <c r="C14" s="46"/>
      <c r="D14" s="46"/>
      <c r="E14" s="46"/>
      <c r="F14" s="48"/>
    </row>
    <row r="15" spans="2:6">
      <c r="B15" s="47"/>
      <c r="C15" s="46"/>
      <c r="D15" s="46"/>
      <c r="E15" s="46"/>
      <c r="F15" s="48"/>
    </row>
    <row r="16" spans="2:6">
      <c r="B16" s="47"/>
      <c r="C16" s="46"/>
      <c r="D16" s="46"/>
      <c r="E16" s="46"/>
      <c r="F16" s="48"/>
    </row>
    <row r="17" spans="2:6">
      <c r="B17" s="47">
        <v>4</v>
      </c>
      <c r="C17" s="46" t="s">
        <v>94</v>
      </c>
      <c r="D17" s="46"/>
      <c r="E17" s="46"/>
      <c r="F17" s="48"/>
    </row>
    <row r="18" spans="2:6">
      <c r="B18" s="47"/>
      <c r="C18" s="46"/>
      <c r="D18" s="46"/>
      <c r="E18" s="46"/>
      <c r="F18" s="48"/>
    </row>
    <row r="19" spans="2:6">
      <c r="B19" s="47"/>
      <c r="C19" s="46"/>
      <c r="D19" s="46"/>
      <c r="E19" s="46"/>
      <c r="F19" s="48"/>
    </row>
    <row r="20" spans="2:6">
      <c r="B20" s="47">
        <v>5</v>
      </c>
      <c r="C20" s="46" t="s">
        <v>92</v>
      </c>
      <c r="D20" s="46"/>
      <c r="E20" s="46"/>
    </row>
    <row r="21" spans="2:6">
      <c r="B21" s="47"/>
      <c r="C21" s="46"/>
      <c r="D21" s="46"/>
      <c r="E21" s="46"/>
    </row>
    <row r="22" spans="2:6">
      <c r="B22" s="47"/>
      <c r="C22" s="46"/>
      <c r="D22" s="46"/>
      <c r="E22" s="46"/>
    </row>
    <row r="23" spans="2:6" ht="15" customHeight="1">
      <c r="B23" s="47"/>
      <c r="C23" s="46"/>
      <c r="D23" s="46"/>
      <c r="E23" s="46"/>
    </row>
    <row r="24" spans="2:6">
      <c r="B24" s="47">
        <v>6</v>
      </c>
      <c r="C24" s="46" t="s">
        <v>95</v>
      </c>
      <c r="D24" s="46"/>
      <c r="E24" s="46"/>
    </row>
    <row r="25" spans="2:6">
      <c r="B25" s="47"/>
      <c r="C25" s="46"/>
      <c r="D25" s="46"/>
      <c r="E25" s="46"/>
    </row>
    <row r="26" spans="2:6">
      <c r="B26" s="47"/>
      <c r="C26" s="46"/>
      <c r="D26" s="46"/>
      <c r="E26" s="46"/>
    </row>
    <row r="27" spans="2:6">
      <c r="B27" s="47"/>
      <c r="C27" s="46"/>
      <c r="D27" s="46"/>
      <c r="E27" s="46"/>
    </row>
    <row r="28" spans="2:6">
      <c r="B28" s="47">
        <v>7</v>
      </c>
      <c r="C28" s="46"/>
      <c r="D28" s="46"/>
      <c r="E28" s="46"/>
    </row>
    <row r="29" spans="2:6">
      <c r="B29" s="47"/>
      <c r="C29" s="46"/>
      <c r="D29" s="46"/>
      <c r="E29" s="46"/>
    </row>
    <row r="30" spans="2:6" ht="15" customHeight="1">
      <c r="B30" s="47"/>
      <c r="C30" s="46"/>
      <c r="D30" s="46"/>
      <c r="E30" s="46"/>
    </row>
    <row r="31" spans="2:6">
      <c r="B31" s="47">
        <v>8</v>
      </c>
      <c r="C31" s="46"/>
      <c r="D31" s="46"/>
      <c r="E31" s="46"/>
    </row>
    <row r="32" spans="2:6" ht="15" customHeight="1">
      <c r="B32" s="47"/>
      <c r="C32" s="46"/>
      <c r="D32" s="46"/>
      <c r="E32" s="46"/>
    </row>
    <row r="33" spans="2:5">
      <c r="B33" s="47"/>
      <c r="C33" s="46"/>
      <c r="D33" s="46"/>
      <c r="E33" s="46"/>
    </row>
    <row r="39" spans="2:5" ht="15" customHeight="1"/>
  </sheetData>
  <mergeCells count="1">
    <mergeCell ref="C2:F2"/>
  </mergeCells>
  <dataValidations count="1">
    <dataValidation type="list" allowBlank="1" showInputMessage="1" showErrorMessage="1" sqref="C4 C8 C12 C17 C20 C24 C28 C31">
      <formula1>Dept.or.Function</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21"/>
  <sheetViews>
    <sheetView workbookViewId="0">
      <selection activeCell="A2" sqref="A2"/>
    </sheetView>
  </sheetViews>
  <sheetFormatPr defaultRowHeight="15"/>
  <cols>
    <col min="1" max="1" width="46" customWidth="1"/>
  </cols>
  <sheetData>
    <row r="1" spans="1:1">
      <c r="A1" s="45" t="s">
        <v>72</v>
      </c>
    </row>
    <row r="2" spans="1:1">
      <c r="A2" s="46" t="s">
        <v>94</v>
      </c>
    </row>
    <row r="3" spans="1:1">
      <c r="A3" s="46" t="s">
        <v>95</v>
      </c>
    </row>
    <row r="4" spans="1:1">
      <c r="A4" s="46" t="s">
        <v>87</v>
      </c>
    </row>
    <row r="5" spans="1:1">
      <c r="A5" s="46" t="s">
        <v>92</v>
      </c>
    </row>
    <row r="6" spans="1:1">
      <c r="A6" s="46" t="s">
        <v>93</v>
      </c>
    </row>
    <row r="7" spans="1:1">
      <c r="A7" s="46" t="s">
        <v>91</v>
      </c>
    </row>
    <row r="8" spans="1:1">
      <c r="A8" s="51" t="s">
        <v>76</v>
      </c>
    </row>
    <row r="9" spans="1:1">
      <c r="A9" s="51" t="s">
        <v>76</v>
      </c>
    </row>
    <row r="10" spans="1:1">
      <c r="A10" s="51" t="s">
        <v>76</v>
      </c>
    </row>
    <row r="11" spans="1:1">
      <c r="A11" s="51" t="s">
        <v>76</v>
      </c>
    </row>
    <row r="12" spans="1:1">
      <c r="A12" s="51" t="s">
        <v>76</v>
      </c>
    </row>
    <row r="13" spans="1:1">
      <c r="A13" s="51" t="s">
        <v>76</v>
      </c>
    </row>
    <row r="14" spans="1:1">
      <c r="A14" s="51" t="s">
        <v>76</v>
      </c>
    </row>
    <row r="15" spans="1:1">
      <c r="A15" s="51" t="s">
        <v>76</v>
      </c>
    </row>
    <row r="16" spans="1:1">
      <c r="A16" s="51" t="s">
        <v>76</v>
      </c>
    </row>
    <row r="17" spans="1:1">
      <c r="A17" s="51" t="s">
        <v>76</v>
      </c>
    </row>
    <row r="18" spans="1:1">
      <c r="A18" s="51" t="s">
        <v>76</v>
      </c>
    </row>
    <row r="19" spans="1:1">
      <c r="A19" s="51" t="s">
        <v>76</v>
      </c>
    </row>
    <row r="20" spans="1:1">
      <c r="A20" s="51" t="s">
        <v>76</v>
      </c>
    </row>
    <row r="21" spans="1:1">
      <c r="A21" s="51" t="s">
        <v>76</v>
      </c>
    </row>
  </sheetData>
  <sortState ref="A2:A7">
    <sortCondition ref="A2:A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vt:lpstr>
      <vt:lpstr>Introduction</vt:lpstr>
      <vt:lpstr>Applicability</vt:lpstr>
      <vt:lpstr>Gov</vt:lpstr>
      <vt:lpstr>Stakeholders</vt:lpstr>
      <vt:lpstr>Suppliers</vt:lpstr>
      <vt:lpstr>Customers</vt:lpstr>
      <vt:lpstr>Business Process</vt:lpstr>
      <vt:lpstr>Lookup lists</vt:lpstr>
      <vt:lpstr>Dept.or.Function</vt:lpstr>
    </vt:vector>
  </TitlesOfParts>
  <Company>Dodid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Identify requirements &amp; legal register</dc:title>
  <dc:subject>Agile Lab ISMS</dc:subject>
  <dc:creator>Lim Sek Seong</dc:creator>
  <cp:keywords>Legal register</cp:keywords>
  <cp:lastModifiedBy>Lim Sek Seong</cp:lastModifiedBy>
  <dcterms:created xsi:type="dcterms:W3CDTF">2017-04-20T14:13:47Z</dcterms:created>
  <dcterms:modified xsi:type="dcterms:W3CDTF">2020-12-11T03:53:58Z</dcterms:modified>
</cp:coreProperties>
</file>